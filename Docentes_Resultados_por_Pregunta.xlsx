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drawings/drawing14.xml" ContentType="application/vnd.openxmlformats-officedocument.drawing+xml"/>
  <Override PartName="/xl/charts/chart14.xml" ContentType="application/vnd.openxmlformats-officedocument.drawingml.chart+xml"/>
  <Override PartName="/xl/drawings/drawing15.xml" ContentType="application/vnd.openxmlformats-officedocument.drawing+xml"/>
  <Override PartName="/xl/charts/chart15.xml" ContentType="application/vnd.openxmlformats-officedocument.drawingml.chart+xml"/>
  <Override PartName="/xl/drawings/drawing16.xml" ContentType="application/vnd.openxmlformats-officedocument.drawing+xml"/>
  <Override PartName="/xl/charts/chart16.xml" ContentType="application/vnd.openxmlformats-officedocument.drawingml.chart+xml"/>
  <Override PartName="/xl/drawings/drawing17.xml" ContentType="application/vnd.openxmlformats-officedocument.drawing+xml"/>
  <Override PartName="/xl/charts/chart17.xml" ContentType="application/vnd.openxmlformats-officedocument.drawingml.chart+xml"/>
  <Override PartName="/xl/drawings/drawing18.xml" ContentType="application/vnd.openxmlformats-officedocument.drawing+xml"/>
  <Override PartName="/xl/charts/chart18.xml" ContentType="application/vnd.openxmlformats-officedocument.drawingml.chart+xml"/>
  <Override PartName="/xl/drawings/drawing19.xml" ContentType="application/vnd.openxmlformats-officedocument.drawing+xml"/>
  <Override PartName="/xl/charts/chart19.xml" ContentType="application/vnd.openxmlformats-officedocument.drawingml.chart+xml"/>
  <Override PartName="/xl/drawings/drawing20.xml" ContentType="application/vnd.openxmlformats-officedocument.drawing+xml"/>
  <Override PartName="/xl/charts/chart20.xml" ContentType="application/vnd.openxmlformats-officedocument.drawingml.chart+xml"/>
  <Override PartName="/xl/drawings/drawing21.xml" ContentType="application/vnd.openxmlformats-officedocument.drawing+xml"/>
  <Override PartName="/xl/charts/chart21.xml" ContentType="application/vnd.openxmlformats-officedocument.drawingml.chart+xml"/>
  <Override PartName="/xl/drawings/drawing22.xml" ContentType="application/vnd.openxmlformats-officedocument.drawing+xml"/>
  <Override PartName="/xl/charts/chart22.xml" ContentType="application/vnd.openxmlformats-officedocument.drawingml.chart+xml"/>
  <Override PartName="/xl/drawings/drawing23.xml" ContentType="application/vnd.openxmlformats-officedocument.drawing+xml"/>
  <Override PartName="/xl/charts/chart23.xml" ContentType="application/vnd.openxmlformats-officedocument.drawingml.chart+xml"/>
  <Override PartName="/xl/drawings/drawing24.xml" ContentType="application/vnd.openxmlformats-officedocument.drawing+xml"/>
  <Override PartName="/xl/charts/chart24.xml" ContentType="application/vnd.openxmlformats-officedocument.drawingml.chart+xml"/>
  <Override PartName="/xl/drawings/drawing25.xml" ContentType="application/vnd.openxmlformats-officedocument.drawing+xml"/>
  <Override PartName="/xl/charts/chart25.xml" ContentType="application/vnd.openxmlformats-officedocument.drawingml.chart+xml"/>
  <Override PartName="/xl/drawings/drawing26.xml" ContentType="application/vnd.openxmlformats-officedocument.drawing+xml"/>
  <Override PartName="/xl/charts/chart26.xml" ContentType="application/vnd.openxmlformats-officedocument.drawingml.chart+xml"/>
  <Override PartName="/xl/drawings/drawing27.xml" ContentType="application/vnd.openxmlformats-officedocument.drawing+xml"/>
  <Override PartName="/xl/charts/chart27.xml" ContentType="application/vnd.openxmlformats-officedocument.drawingml.chart+xml"/>
  <Override PartName="/xl/drawings/drawing28.xml" ContentType="application/vnd.openxmlformats-officedocument.drawing+xml"/>
  <Override PartName="/xl/charts/chart28.xml" ContentType="application/vnd.openxmlformats-officedocument.drawingml.chart+xml"/>
  <Override PartName="/xl/drawings/drawing29.xml" ContentType="application/vnd.openxmlformats-officedocument.drawing+xml"/>
  <Override PartName="/xl/charts/chart29.xml" ContentType="application/vnd.openxmlformats-officedocument.drawingml.chart+xml"/>
  <Override PartName="/xl/drawings/drawing30.xml" ContentType="application/vnd.openxmlformats-officedocument.drawing+xml"/>
  <Override PartName="/xl/charts/chart30.xml" ContentType="application/vnd.openxmlformats-officedocument.drawingml.chart+xml"/>
  <Override PartName="/xl/drawings/drawing31.xml" ContentType="application/vnd.openxmlformats-officedocument.drawing+xml"/>
  <Override PartName="/xl/charts/chart31.xml" ContentType="application/vnd.openxmlformats-officedocument.drawingml.chart+xml"/>
  <Override PartName="/xl/drawings/drawing32.xml" ContentType="application/vnd.openxmlformats-officedocument.drawing+xml"/>
  <Override PartName="/xl/charts/chart32.xml" ContentType="application/vnd.openxmlformats-officedocument.drawingml.chart+xml"/>
  <Override PartName="/xl/drawings/drawing33.xml" ContentType="application/vnd.openxmlformats-officedocument.drawing+xml"/>
  <Override PartName="/xl/charts/chart33.xml" ContentType="application/vnd.openxmlformats-officedocument.drawingml.chart+xml"/>
  <Override PartName="/xl/drawings/drawing34.xml" ContentType="application/vnd.openxmlformats-officedocument.drawing+xml"/>
  <Override PartName="/xl/charts/chart34.xml" ContentType="application/vnd.openxmlformats-officedocument.drawingml.chart+xml"/>
  <Override PartName="/xl/drawings/drawing35.xml" ContentType="application/vnd.openxmlformats-officedocument.drawing+xml"/>
  <Override PartName="/xl/charts/chart35.xml" ContentType="application/vnd.openxmlformats-officedocument.drawingml.chart+xml"/>
  <Override PartName="/xl/drawings/drawing36.xml" ContentType="application/vnd.openxmlformats-officedocument.drawing+xml"/>
  <Override PartName="/xl/charts/chart36.xml" ContentType="application/vnd.openxmlformats-officedocument.drawingml.chart+xml"/>
  <Override PartName="/xl/drawings/drawing37.xml" ContentType="application/vnd.openxmlformats-officedocument.drawing+xml"/>
  <Override PartName="/xl/charts/chart37.xml" ContentType="application/vnd.openxmlformats-officedocument.drawingml.chart+xml"/>
  <Override PartName="/xl/drawings/drawing38.xml" ContentType="application/vnd.openxmlformats-officedocument.drawing+xml"/>
  <Override PartName="/xl/charts/chart38.xml" ContentType="application/vnd.openxmlformats-officedocument.drawingml.chart+xml"/>
  <Override PartName="/xl/drawings/drawing39.xml" ContentType="application/vnd.openxmlformats-officedocument.drawing+xml"/>
  <Override PartName="/xl/charts/chart39.xml" ContentType="application/vnd.openxmlformats-officedocument.drawingml.chart+xml"/>
  <Override PartName="/xl/drawings/drawing40.xml" ContentType="application/vnd.openxmlformats-officedocument.drawing+xml"/>
  <Override PartName="/xl/charts/chart40.xml" ContentType="application/vnd.openxmlformats-officedocument.drawingml.chart+xml"/>
  <Override PartName="/xl/drawings/drawing41.xml" ContentType="application/vnd.openxmlformats-officedocument.drawing+xml"/>
  <Override PartName="/xl/charts/chart41.xml" ContentType="application/vnd.openxmlformats-officedocument.drawingml.chart+xml"/>
  <Override PartName="/xl/drawings/drawing42.xml" ContentType="application/vnd.openxmlformats-officedocument.drawing+xml"/>
  <Override PartName="/xl/charts/chart42.xml" ContentType="application/vnd.openxmlformats-officedocument.drawingml.chart+xml"/>
  <Override PartName="/xl/drawings/drawing43.xml" ContentType="application/vnd.openxmlformats-officedocument.drawing+xml"/>
  <Override PartName="/xl/charts/chart43.xml" ContentType="application/vnd.openxmlformats-officedocument.drawingml.chart+xml"/>
  <Override PartName="/xl/drawings/drawing44.xml" ContentType="application/vnd.openxmlformats-officedocument.drawing+xml"/>
  <Override PartName="/xl/charts/chart44.xml" ContentType="application/vnd.openxmlformats-officedocument.drawingml.chart+xml"/>
  <Override PartName="/xl/drawings/drawing45.xml" ContentType="application/vnd.openxmlformats-officedocument.drawing+xml"/>
  <Override PartName="/xl/charts/chart45.xml" ContentType="application/vnd.openxmlformats-officedocument.drawingml.chart+xml"/>
  <Override PartName="/xl/drawings/drawing46.xml" ContentType="application/vnd.openxmlformats-officedocument.drawing+xml"/>
  <Override PartName="/xl/charts/chart46.xml" ContentType="application/vnd.openxmlformats-officedocument.drawingml.chart+xml"/>
  <Override PartName="/xl/drawings/drawing47.xml" ContentType="application/vnd.openxmlformats-officedocument.drawing+xml"/>
  <Override PartName="/xl/charts/chart47.xml" ContentType="application/vnd.openxmlformats-officedocument.drawingml.chart+xml"/>
  <Override PartName="/xl/drawings/drawing48.xml" ContentType="application/vnd.openxmlformats-officedocument.drawing+xml"/>
  <Override PartName="/xl/charts/chart48.xml" ContentType="application/vnd.openxmlformats-officedocument.drawingml.chart+xml"/>
  <Override PartName="/xl/drawings/drawing49.xml" ContentType="application/vnd.openxmlformats-officedocument.drawing+xml"/>
  <Override PartName="/xl/charts/chart49.xml" ContentType="application/vnd.openxmlformats-officedocument.drawingml.chart+xml"/>
  <Override PartName="/xl/drawings/drawing50.xml" ContentType="application/vnd.openxmlformats-officedocument.drawing+xml"/>
  <Override PartName="/xl/charts/chart50.xml" ContentType="application/vnd.openxmlformats-officedocument.drawingml.chart+xml"/>
  <Override PartName="/xl/drawings/drawing51.xml" ContentType="application/vnd.openxmlformats-officedocument.drawing+xml"/>
  <Override PartName="/xl/charts/chart51.xml" ContentType="application/vnd.openxmlformats-officedocument.drawingml.chart+xml"/>
  <Override PartName="/xl/drawings/drawing52.xml" ContentType="application/vnd.openxmlformats-officedocument.drawing+xml"/>
  <Override PartName="/xl/charts/chart52.xml" ContentType="application/vnd.openxmlformats-officedocument.drawingml.chart+xml"/>
  <Override PartName="/xl/drawings/drawing53.xml" ContentType="application/vnd.openxmlformats-officedocument.drawing+xml"/>
  <Override PartName="/xl/charts/chart53.xml" ContentType="application/vnd.openxmlformats-officedocument.drawingml.chart+xml"/>
  <Override PartName="/xl/drawings/drawing54.xml" ContentType="application/vnd.openxmlformats-officedocument.drawing+xml"/>
  <Override PartName="/xl/charts/chart54.xml" ContentType="application/vnd.openxmlformats-officedocument.drawingml.chart+xml"/>
  <Override PartName="/xl/drawings/drawing55.xml" ContentType="application/vnd.openxmlformats-officedocument.drawing+xml"/>
  <Override PartName="/xl/charts/chart55.xml" ContentType="application/vnd.openxmlformats-officedocument.drawingml.chart+xml"/>
  <Override PartName="/xl/drawings/drawing56.xml" ContentType="application/vnd.openxmlformats-officedocument.drawing+xml"/>
  <Override PartName="/xl/charts/chart5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mc:AlternateContent xmlns:mc="http://schemas.openxmlformats.org/markup-compatibility/2006">
    <mc:Choice Requires="x15">
      <x15ac:absPath xmlns:x15ac="http://schemas.microsoft.com/office/spreadsheetml/2010/11/ac" url="/Users/sebastianlopera/Library/CloudStorage/Dropbox/Universidades/2026-1/Encuestas/Docentes/Consolidado/"/>
    </mc:Choice>
  </mc:AlternateContent>
  <xr:revisionPtr revIDLastSave="0" documentId="13_ncr:1_{AC8BC14F-626A-8840-ABED-602106BBA5F5}" xr6:coauthVersionLast="47" xr6:coauthVersionMax="47" xr10:uidLastSave="{00000000-0000-0000-0000-000000000000}"/>
  <bookViews>
    <workbookView xWindow="0" yWindow="500" windowWidth="40960" windowHeight="24100" firstSheet="60" activeTab="60" xr2:uid="{00000000-000D-0000-FFFF-FFFF00000000}"/>
  </bookViews>
  <sheets>
    <sheet name="Indice" sheetId="1" r:id="rId1"/>
    <sheet name="P1" sheetId="2" r:id="rId2"/>
    <sheet name="P2" sheetId="3" r:id="rId3"/>
    <sheet name="P3" sheetId="4" r:id="rId4"/>
    <sheet name="P4" sheetId="5" r:id="rId5"/>
    <sheet name="P5" sheetId="6" r:id="rId6"/>
    <sheet name="P6" sheetId="7" r:id="rId7"/>
    <sheet name="P7" sheetId="8" r:id="rId8"/>
    <sheet name="P8" sheetId="9" r:id="rId9"/>
    <sheet name="P9" sheetId="10" r:id="rId10"/>
    <sheet name="P10" sheetId="11" r:id="rId11"/>
    <sheet name="P11" sheetId="12" r:id="rId12"/>
    <sheet name="P12" sheetId="13" r:id="rId13"/>
    <sheet name="P13" sheetId="14" r:id="rId14"/>
    <sheet name="P14" sheetId="15" r:id="rId15"/>
    <sheet name="P15" sheetId="16" r:id="rId16"/>
    <sheet name="P16" sheetId="17" r:id="rId17"/>
    <sheet name="P17" sheetId="18" r:id="rId18"/>
    <sheet name="P18" sheetId="19" r:id="rId19"/>
    <sheet name="P19" sheetId="20" r:id="rId20"/>
    <sheet name="P20" sheetId="21" r:id="rId21"/>
    <sheet name="P21" sheetId="22" r:id="rId22"/>
    <sheet name="P22" sheetId="23" r:id="rId23"/>
    <sheet name="P23" sheetId="24" r:id="rId24"/>
    <sheet name="P24" sheetId="25" r:id="rId25"/>
    <sheet name="P25" sheetId="26" r:id="rId26"/>
    <sheet name="P26" sheetId="27" r:id="rId27"/>
    <sheet name="P27" sheetId="28" r:id="rId28"/>
    <sheet name="P28" sheetId="29" r:id="rId29"/>
    <sheet name="P29" sheetId="30" r:id="rId30"/>
    <sheet name="P30" sheetId="31" r:id="rId31"/>
    <sheet name="P31" sheetId="32" r:id="rId32"/>
    <sheet name="P32" sheetId="33" r:id="rId33"/>
    <sheet name="P33" sheetId="34" r:id="rId34"/>
    <sheet name="P34" sheetId="35" r:id="rId35"/>
    <sheet name="P35" sheetId="36" r:id="rId36"/>
    <sheet name="P36" sheetId="37" r:id="rId37"/>
    <sheet name="P37" sheetId="38" r:id="rId38"/>
    <sheet name="P38" sheetId="39" r:id="rId39"/>
    <sheet name="P39" sheetId="40" r:id="rId40"/>
    <sheet name="P40" sheetId="41" r:id="rId41"/>
    <sheet name="P41" sheetId="42" r:id="rId42"/>
    <sheet name="P42" sheetId="43" r:id="rId43"/>
    <sheet name="P43" sheetId="44" r:id="rId44"/>
    <sheet name="P44" sheetId="45" r:id="rId45"/>
    <sheet name="P45" sheetId="46" r:id="rId46"/>
    <sheet name="P46" sheetId="47" r:id="rId47"/>
    <sheet name="P47" sheetId="48" r:id="rId48"/>
    <sheet name="P48" sheetId="49" r:id="rId49"/>
    <sheet name="P49" sheetId="50" r:id="rId50"/>
    <sheet name="P50" sheetId="51" r:id="rId51"/>
    <sheet name="P51" sheetId="52" r:id="rId52"/>
    <sheet name="P52" sheetId="53" r:id="rId53"/>
    <sheet name="P53" sheetId="54" r:id="rId54"/>
    <sheet name="P54" sheetId="55" r:id="rId55"/>
    <sheet name="P55" sheetId="56" r:id="rId56"/>
    <sheet name="P56" sheetId="57" r:id="rId57"/>
    <sheet name="P57" sheetId="58" r:id="rId58"/>
    <sheet name="P58" sheetId="59" r:id="rId59"/>
    <sheet name="P59" sheetId="60" r:id="rId60"/>
    <sheet name="P60" sheetId="61" r:id="rId6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60" l="1"/>
  <c r="C6" i="60"/>
  <c r="C5" i="60"/>
  <c r="C4" i="60"/>
  <c r="C7" i="60" s="1"/>
  <c r="B8" i="59"/>
  <c r="C7" i="59"/>
  <c r="C6" i="59"/>
  <c r="C5" i="59"/>
  <c r="C4" i="59"/>
  <c r="C8" i="59" s="1"/>
  <c r="B7" i="58"/>
  <c r="C6" i="58"/>
  <c r="C7" i="58" s="1"/>
  <c r="C5" i="58"/>
  <c r="C4" i="58"/>
  <c r="B8" i="57"/>
  <c r="C7" i="57"/>
  <c r="C6" i="57"/>
  <c r="C5" i="57"/>
  <c r="C4" i="57"/>
  <c r="C8" i="57" s="1"/>
  <c r="B9" i="56"/>
  <c r="C8" i="56"/>
  <c r="C7" i="56"/>
  <c r="C6" i="56"/>
  <c r="C5" i="56"/>
  <c r="C9" i="56" s="1"/>
  <c r="C4" i="56"/>
  <c r="B9" i="55"/>
  <c r="C8" i="55"/>
  <c r="C7" i="55"/>
  <c r="C6" i="55"/>
  <c r="C5" i="55"/>
  <c r="C4" i="55"/>
  <c r="C9" i="55" s="1"/>
  <c r="B9" i="54"/>
  <c r="C8" i="54"/>
  <c r="C7" i="54"/>
  <c r="C6" i="54"/>
  <c r="C5" i="54"/>
  <c r="C9" i="54" s="1"/>
  <c r="C4" i="54"/>
  <c r="B9" i="53"/>
  <c r="C8" i="53"/>
  <c r="C7" i="53"/>
  <c r="C6" i="53"/>
  <c r="C5" i="53"/>
  <c r="C4" i="53"/>
  <c r="C9" i="53" s="1"/>
  <c r="B9" i="52"/>
  <c r="C8" i="52"/>
  <c r="C7" i="52"/>
  <c r="C6" i="52"/>
  <c r="C5" i="52"/>
  <c r="C9" i="52" s="1"/>
  <c r="C4" i="52"/>
  <c r="B8" i="51"/>
  <c r="C7" i="51"/>
  <c r="C6" i="51"/>
  <c r="C5" i="51"/>
  <c r="C4" i="51"/>
  <c r="C8" i="51" s="1"/>
  <c r="B7" i="50"/>
  <c r="C6" i="50"/>
  <c r="C5" i="50"/>
  <c r="C7" i="50" s="1"/>
  <c r="C4" i="50"/>
  <c r="C7" i="49"/>
  <c r="B7" i="49"/>
  <c r="C6" i="49"/>
  <c r="C5" i="49"/>
  <c r="C4" i="49"/>
  <c r="B7" i="48"/>
  <c r="C6" i="48"/>
  <c r="C5" i="48"/>
  <c r="C4" i="48"/>
  <c r="C7" i="48" s="1"/>
  <c r="B6" i="47"/>
  <c r="C5" i="47"/>
  <c r="C4" i="47"/>
  <c r="C6" i="47" s="1"/>
  <c r="C7" i="46"/>
  <c r="B7" i="46"/>
  <c r="C6" i="46"/>
  <c r="C5" i="46"/>
  <c r="C4" i="46"/>
  <c r="B9" i="45"/>
  <c r="C8" i="45"/>
  <c r="C7" i="45"/>
  <c r="C6" i="45"/>
  <c r="C5" i="45"/>
  <c r="C4" i="45"/>
  <c r="C9" i="45" s="1"/>
  <c r="B8" i="44"/>
  <c r="C7" i="44"/>
  <c r="C6" i="44"/>
  <c r="C8" i="44" s="1"/>
  <c r="C5" i="44"/>
  <c r="C4" i="44"/>
  <c r="B8" i="43"/>
  <c r="C7" i="43"/>
  <c r="C6" i="43"/>
  <c r="C5" i="43"/>
  <c r="C4" i="43"/>
  <c r="C8" i="43" s="1"/>
  <c r="B8" i="42"/>
  <c r="C7" i="42"/>
  <c r="C6" i="42"/>
  <c r="C5" i="42"/>
  <c r="C4" i="42"/>
  <c r="C8" i="42" s="1"/>
  <c r="B8" i="41"/>
  <c r="C7" i="41"/>
  <c r="C6" i="41"/>
  <c r="C5" i="41"/>
  <c r="C8" i="41" s="1"/>
  <c r="C4" i="41"/>
  <c r="B8" i="40"/>
  <c r="C7" i="40"/>
  <c r="C6" i="40"/>
  <c r="C5" i="40"/>
  <c r="C4" i="40"/>
  <c r="C8" i="40" s="1"/>
  <c r="C8" i="39"/>
  <c r="B8" i="39"/>
  <c r="C7" i="39"/>
  <c r="C6" i="39"/>
  <c r="C5" i="39"/>
  <c r="C4" i="39"/>
  <c r="B9" i="38"/>
  <c r="C8" i="38"/>
  <c r="C7" i="38"/>
  <c r="C6" i="38"/>
  <c r="C5" i="38"/>
  <c r="C4" i="38"/>
  <c r="C9" i="38" s="1"/>
  <c r="B9" i="37"/>
  <c r="C8" i="37"/>
  <c r="C9" i="37" s="1"/>
  <c r="C7" i="37"/>
  <c r="C6" i="37"/>
  <c r="C5" i="37"/>
  <c r="C4" i="37"/>
  <c r="B8" i="36"/>
  <c r="C7" i="36"/>
  <c r="C6" i="36"/>
  <c r="C5" i="36"/>
  <c r="C4" i="36"/>
  <c r="C8" i="36" s="1"/>
  <c r="B9" i="35"/>
  <c r="C8" i="35"/>
  <c r="C7" i="35"/>
  <c r="C9" i="35" s="1"/>
  <c r="C6" i="35"/>
  <c r="C5" i="35"/>
  <c r="C4" i="35"/>
  <c r="B9" i="34"/>
  <c r="C8" i="34"/>
  <c r="C7" i="34"/>
  <c r="C6" i="34"/>
  <c r="C5" i="34"/>
  <c r="C4" i="34"/>
  <c r="C9" i="34" s="1"/>
  <c r="B8" i="33"/>
  <c r="C7" i="33"/>
  <c r="C6" i="33"/>
  <c r="C8" i="33" s="1"/>
  <c r="C5" i="33"/>
  <c r="C4" i="33"/>
  <c r="B9" i="32"/>
  <c r="C8" i="32"/>
  <c r="C7" i="32"/>
  <c r="C6" i="32"/>
  <c r="C5" i="32"/>
  <c r="C4" i="32"/>
  <c r="C9" i="32" s="1"/>
  <c r="B8" i="31"/>
  <c r="C7" i="31"/>
  <c r="C6" i="31"/>
  <c r="C5" i="31"/>
  <c r="C8" i="31" s="1"/>
  <c r="C4" i="31"/>
  <c r="B33" i="30"/>
  <c r="C32" i="30"/>
  <c r="C31" i="30"/>
  <c r="C30" i="30"/>
  <c r="C29" i="30"/>
  <c r="C28" i="30"/>
  <c r="C27" i="30"/>
  <c r="C26" i="30"/>
  <c r="C25" i="30"/>
  <c r="C24" i="30"/>
  <c r="C23" i="30"/>
  <c r="C22" i="30"/>
  <c r="C21" i="30"/>
  <c r="C20" i="30"/>
  <c r="C19" i="30"/>
  <c r="C18" i="30"/>
  <c r="C17" i="30"/>
  <c r="C16" i="30"/>
  <c r="C15" i="30"/>
  <c r="C14" i="30"/>
  <c r="C13" i="30"/>
  <c r="C12" i="30"/>
  <c r="C11" i="30"/>
  <c r="C10" i="30"/>
  <c r="C9" i="30"/>
  <c r="C8" i="30"/>
  <c r="C7" i="30"/>
  <c r="C6" i="30"/>
  <c r="C5" i="30"/>
  <c r="C4" i="30"/>
  <c r="C33" i="30" s="1"/>
  <c r="B8" i="29"/>
  <c r="C7" i="29"/>
  <c r="C6" i="29"/>
  <c r="C5" i="29"/>
  <c r="C4" i="29"/>
  <c r="C8" i="29" s="1"/>
  <c r="C8" i="28"/>
  <c r="B8" i="28"/>
  <c r="C7" i="28"/>
  <c r="C6" i="28"/>
  <c r="C5" i="28"/>
  <c r="C4" i="28"/>
  <c r="B8" i="27"/>
  <c r="C7" i="27"/>
  <c r="C6" i="27"/>
  <c r="C5" i="27"/>
  <c r="C4" i="27"/>
  <c r="C8" i="27" s="1"/>
  <c r="B9" i="26"/>
  <c r="C8" i="26"/>
  <c r="C7" i="26"/>
  <c r="C6" i="26"/>
  <c r="C5" i="26"/>
  <c r="C9" i="26" s="1"/>
  <c r="C4" i="26"/>
  <c r="B9" i="25"/>
  <c r="C8" i="25"/>
  <c r="C7" i="25"/>
  <c r="C6" i="25"/>
  <c r="C5" i="25"/>
  <c r="C4" i="25"/>
  <c r="C9" i="25" s="1"/>
  <c r="B9" i="24"/>
  <c r="C8" i="24"/>
  <c r="C7" i="24"/>
  <c r="C6" i="24"/>
  <c r="C5" i="24"/>
  <c r="C4" i="24"/>
  <c r="C9" i="24" s="1"/>
  <c r="B9" i="23"/>
  <c r="C8" i="23"/>
  <c r="C7" i="23"/>
  <c r="C6" i="23"/>
  <c r="C5" i="23"/>
  <c r="C4" i="23"/>
  <c r="C9" i="23" s="1"/>
  <c r="B9" i="22"/>
  <c r="C8" i="22"/>
  <c r="C7" i="22"/>
  <c r="C6" i="22"/>
  <c r="C5" i="22"/>
  <c r="C4" i="22"/>
  <c r="C9" i="22" s="1"/>
  <c r="B9" i="21"/>
  <c r="C8" i="21"/>
  <c r="C7" i="21"/>
  <c r="C6" i="21"/>
  <c r="C5" i="21"/>
  <c r="C4" i="21"/>
  <c r="C9" i="21" s="1"/>
  <c r="B8" i="20"/>
  <c r="C7" i="20"/>
  <c r="C6" i="20"/>
  <c r="C5" i="20"/>
  <c r="C4" i="20"/>
  <c r="C8" i="20" s="1"/>
  <c r="C8" i="19"/>
  <c r="B8" i="19"/>
  <c r="C7" i="19"/>
  <c r="C6" i="19"/>
  <c r="C5" i="19"/>
  <c r="C4" i="19"/>
  <c r="B8" i="18"/>
  <c r="C7" i="18"/>
  <c r="C6" i="18"/>
  <c r="C5" i="18"/>
  <c r="C4" i="18"/>
  <c r="C8" i="18" s="1"/>
  <c r="B36" i="17"/>
  <c r="C35" i="17"/>
  <c r="C34" i="17"/>
  <c r="C33" i="17"/>
  <c r="C32" i="17"/>
  <c r="C31" i="17"/>
  <c r="C30" i="17"/>
  <c r="C29" i="17"/>
  <c r="C28" i="17"/>
  <c r="C27" i="17"/>
  <c r="C26" i="17"/>
  <c r="C25" i="17"/>
  <c r="C24" i="17"/>
  <c r="C23" i="17"/>
  <c r="C22" i="17"/>
  <c r="C21" i="17"/>
  <c r="C20" i="17"/>
  <c r="C19" i="17"/>
  <c r="C18" i="17"/>
  <c r="C17" i="17"/>
  <c r="C16" i="17"/>
  <c r="C15" i="17"/>
  <c r="C14" i="17"/>
  <c r="C13" i="17"/>
  <c r="C12" i="17"/>
  <c r="C11" i="17"/>
  <c r="C10" i="17"/>
  <c r="C36" i="17" s="1"/>
  <c r="C9" i="17"/>
  <c r="C8" i="17"/>
  <c r="C7" i="17"/>
  <c r="C6" i="17"/>
  <c r="C5" i="17"/>
  <c r="C4" i="17"/>
  <c r="B6" i="16"/>
  <c r="C5" i="16"/>
  <c r="C4" i="16"/>
  <c r="C6" i="16" s="1"/>
  <c r="B7" i="15"/>
  <c r="C6" i="15"/>
  <c r="C5" i="15"/>
  <c r="C4" i="15"/>
  <c r="C7" i="15" s="1"/>
  <c r="C9" i="14"/>
  <c r="B9" i="14"/>
  <c r="C8" i="14"/>
  <c r="C7" i="14"/>
  <c r="C6" i="14"/>
  <c r="C5" i="14"/>
  <c r="C4" i="14"/>
  <c r="B7" i="13"/>
  <c r="C6" i="13"/>
  <c r="C5" i="13"/>
  <c r="C4" i="13"/>
  <c r="C7" i="13" s="1"/>
  <c r="B9" i="12"/>
  <c r="C8" i="12"/>
  <c r="C7" i="12"/>
  <c r="C9" i="12" s="1"/>
  <c r="C6" i="12"/>
  <c r="C5" i="12"/>
  <c r="C4" i="12"/>
  <c r="B9" i="11"/>
  <c r="C8" i="11"/>
  <c r="C7" i="11"/>
  <c r="C6" i="11"/>
  <c r="C5" i="11"/>
  <c r="C4" i="11"/>
  <c r="C9" i="11" s="1"/>
  <c r="B9" i="10"/>
  <c r="C8" i="10"/>
  <c r="C7" i="10"/>
  <c r="C9" i="10" s="1"/>
  <c r="C6" i="10"/>
  <c r="C5" i="10"/>
  <c r="C4" i="10"/>
  <c r="B8" i="9"/>
  <c r="C7" i="9"/>
  <c r="C6" i="9"/>
  <c r="C5" i="9"/>
  <c r="C4" i="9"/>
  <c r="C8" i="9" s="1"/>
  <c r="B6" i="8"/>
  <c r="C5" i="8"/>
  <c r="C4" i="8"/>
  <c r="C6" i="8" s="1"/>
  <c r="C7" i="7"/>
  <c r="B7" i="7"/>
  <c r="C6" i="7"/>
  <c r="C5" i="7"/>
  <c r="C4" i="7"/>
  <c r="B7" i="6"/>
  <c r="C6" i="6"/>
  <c r="C5" i="6"/>
  <c r="C4" i="6"/>
  <c r="C7" i="6" s="1"/>
  <c r="B6" i="5"/>
  <c r="C5" i="5"/>
  <c r="C4" i="5"/>
  <c r="C6" i="5" s="1"/>
  <c r="B25" i="4"/>
  <c r="C24" i="4"/>
  <c r="C23" i="4"/>
  <c r="C22" i="4"/>
  <c r="C21" i="4"/>
  <c r="C20" i="4"/>
  <c r="C19" i="4"/>
  <c r="C18" i="4"/>
  <c r="C17" i="4"/>
  <c r="C16" i="4"/>
  <c r="C15" i="4"/>
  <c r="C14" i="4"/>
  <c r="C13" i="4"/>
  <c r="C12" i="4"/>
  <c r="C25" i="4" s="1"/>
  <c r="C11" i="4"/>
  <c r="C10" i="4"/>
  <c r="C9" i="4"/>
  <c r="C8" i="4"/>
  <c r="C7" i="4"/>
  <c r="C6" i="4"/>
  <c r="C5" i="4"/>
  <c r="C4" i="4"/>
  <c r="B7" i="3"/>
  <c r="C6" i="3"/>
  <c r="C5" i="3"/>
  <c r="C4" i="3"/>
  <c r="C7" i="3" s="1"/>
  <c r="C7" i="2"/>
  <c r="B7" i="2"/>
  <c r="C6" i="2"/>
  <c r="C5" i="2"/>
  <c r="C4" i="2"/>
  <c r="B26" i="61"/>
  <c r="C25" i="61"/>
  <c r="C24" i="61"/>
  <c r="C23" i="61"/>
  <c r="C22" i="61"/>
  <c r="C21" i="61"/>
  <c r="C20" i="61"/>
  <c r="C19" i="61"/>
  <c r="C18" i="61"/>
  <c r="C17" i="61"/>
  <c r="C16" i="61"/>
  <c r="C15" i="61"/>
  <c r="C14" i="61"/>
  <c r="C13" i="61"/>
  <c r="C12" i="61"/>
  <c r="C11" i="61"/>
  <c r="C10" i="61"/>
  <c r="C9" i="61"/>
  <c r="C8" i="61"/>
  <c r="C7" i="61"/>
  <c r="C6" i="61"/>
  <c r="C5" i="61"/>
  <c r="C4" i="61"/>
  <c r="C26" i="61" s="1"/>
</calcChain>
</file>

<file path=xl/sharedStrings.xml><?xml version="1.0" encoding="utf-8"?>
<sst xmlns="http://schemas.openxmlformats.org/spreadsheetml/2006/main" count="871" uniqueCount="249">
  <si>
    <t>hoja</t>
  </si>
  <si>
    <t>pregunta</t>
  </si>
  <si>
    <t>P1</t>
  </si>
  <si>
    <t>Relación laboral con el ITM</t>
  </si>
  <si>
    <t>P2</t>
  </si>
  <si>
    <t>Años de experiencia docente en el ITM</t>
  </si>
  <si>
    <t>P3</t>
  </si>
  <si>
    <t>Áreas en las que enseña en el programa académico</t>
  </si>
  <si>
    <t>P4</t>
  </si>
  <si>
    <t>¿Para su postulación como docente tuvo que aportar evidencias de su experiencia profesional, creativa y pedagógica?</t>
  </si>
  <si>
    <t>P5</t>
  </si>
  <si>
    <t>¿Durante su proceso de selección, la institución evaluó su experiencia de manera coherente con lo establecido en la convocatoria (docente de carrera) y/o con la necesidad del servicio (docente oca...</t>
  </si>
  <si>
    <t>P6</t>
  </si>
  <si>
    <t>¿La institución le comunicó claramente las funciones, deberes y actividades por cumplir?</t>
  </si>
  <si>
    <t>P7</t>
  </si>
  <si>
    <t>¿Su tipo de vinculación/contratación guarda coherencia con las funciones, deberes y actividades que cumple en el programa académico?</t>
  </si>
  <si>
    <t>P8</t>
  </si>
  <si>
    <t>¿Considera que los criterios institucionales para la vinculación/contratación de profesores se aplican de manera transparente?</t>
  </si>
  <si>
    <t>P9</t>
  </si>
  <si>
    <t>¿Conoce los criterios institucionales que se aplican a la hora de evaluar y recomendar la continuidad de un profesor?</t>
  </si>
  <si>
    <t>P10</t>
  </si>
  <si>
    <t>¿Considera que la evaluación docente reconoce los méritos investigativos, artísticos y académicos de los profesores?</t>
  </si>
  <si>
    <t>P11</t>
  </si>
  <si>
    <t>¿Considera que la evaluación de desempeño docente es coherente con las necesidades del programa académico?</t>
  </si>
  <si>
    <t>P12</t>
  </si>
  <si>
    <t>¿Considera que el cuerpo docente del programa suple de manera adecuada las necesidades de formación?</t>
  </si>
  <si>
    <t>P13</t>
  </si>
  <si>
    <t>¿El proceso de selección de docentes favorece los perfiles con trayectoria artística y cultural?</t>
  </si>
  <si>
    <t>P14</t>
  </si>
  <si>
    <t>¿El perfil de los profesores guarda coherencia con las competencias que se pretende lograr en los egresados?</t>
  </si>
  <si>
    <t>P15</t>
  </si>
  <si>
    <t>¿Considera que la diversidad en los campos de actuación de los profesores del programa permite fortalecer el perfil del egresado?</t>
  </si>
  <si>
    <t>P16</t>
  </si>
  <si>
    <t>¿Qué aspectos considera usted que podrían fortalecerse para garantizar la pertinencia del cuerpo docente del programa?</t>
  </si>
  <si>
    <t>P17</t>
  </si>
  <si>
    <t>Conozco el Estatuto Profesoral o el Reglamento del Profesor de Cátedra (según corresponda con mi vinculación), así como sus lineamientos generales.</t>
  </si>
  <si>
    <t>P18</t>
  </si>
  <si>
    <t>Considero que el Estatuto Profesoral o el Reglamento del Profesor de Cátedra (según corresponda con mi tipo de vinculación), se aplica correctamente.</t>
  </si>
  <si>
    <t>P19</t>
  </si>
  <si>
    <t>El Estatuto Profesoral o el Reglamento del Profesor de Cátedra (según corresponda con mi tipo de vinculación), es claro, accesible y se comunica adecuadamente.</t>
  </si>
  <si>
    <t>P20</t>
  </si>
  <si>
    <t>Los procesos de evaluación del desempeño profesoral son claros y oportunos.</t>
  </si>
  <si>
    <t>P21</t>
  </si>
  <si>
    <t>Tengo claridad sobre los criterios para ascender en el escalafón profesoral o en mi categorización (según corresponda con mi tipo de vinculación).</t>
  </si>
  <si>
    <t>P22</t>
  </si>
  <si>
    <t>Considero que el Estatuto Profesoral y el Reglamento del Profesor de Cátedra reconocen adecuadamente los méritos artísticos, creativos, académicos o de investigación-creación.</t>
  </si>
  <si>
    <t>P23</t>
  </si>
  <si>
    <t>Los estímulos establecidos en el Estatuto Profesoral y en el Reglamento del Profesor de Cátedra se aplican de manera justa.</t>
  </si>
  <si>
    <t>P24</t>
  </si>
  <si>
    <t>Los estímulos y reconocimientos favorecen mi motivación profesional y creativa.</t>
  </si>
  <si>
    <t>P25</t>
  </si>
  <si>
    <t>El Estatuto Profesoral y el Reglamento del Profesor de Cátedra ofrecen un marco favorable para el desarrollo de la investigación-creación y proyectos artísticos.</t>
  </si>
  <si>
    <t>P26</t>
  </si>
  <si>
    <t>La aplicación del Estatuto Profesoral y el Reglamento del Profesor de Cátedra contribuyen al mejoramiento de la calidad del programa AGPM.</t>
  </si>
  <si>
    <t>P27</t>
  </si>
  <si>
    <t>La continuidad de los docentes favorece los proyectos artísticos e interdisciplinarios.</t>
  </si>
  <si>
    <t>P28</t>
  </si>
  <si>
    <t>El Estatuto Profesoral y el Reglamento del Profesor de Cátedra fortalecen la consolidación de un cuerpo docente idóneo para la formación en producción musical y artes sonoras.</t>
  </si>
  <si>
    <t>P29</t>
  </si>
  <si>
    <t>¿Qué aspectos del Estatuto Profesoral y/o del Reglamento del Profesor de Cátedra deberían revisarse para favorecer la calidad del programa?</t>
  </si>
  <si>
    <t>P30</t>
  </si>
  <si>
    <t>Los criterios para otorgar remuneraciones por méritos son aplicados de forma transparente.</t>
  </si>
  <si>
    <t>P31</t>
  </si>
  <si>
    <t>Los resultados de las evaluaciones de méritos se comunican oportunamente a los docentes.</t>
  </si>
  <si>
    <t>P32</t>
  </si>
  <si>
    <t>Puedo acceder a los soportes y fundamentaciones de las decisiones sobre incentivos.</t>
  </si>
  <si>
    <t>P33</t>
  </si>
  <si>
    <t>Los montos otorgados por méritos son adecuados en relación con el esfuerzo requerido.</t>
  </si>
  <si>
    <t>P34</t>
  </si>
  <si>
    <t>La institución destina recursos suficientes para incentivos por méritos.</t>
  </si>
  <si>
    <t>P35</t>
  </si>
  <si>
    <t>La institución reconoce y remunera la proyección social y extensión con impacto comunitario.</t>
  </si>
  <si>
    <t>P36</t>
  </si>
  <si>
    <t>La institución reconoce y remunera la excelencia pedagógica.</t>
  </si>
  <si>
    <t>P37</t>
  </si>
  <si>
    <t>Existen incentivos para la participación en formación y actualización docente.</t>
  </si>
  <si>
    <t>P38</t>
  </si>
  <si>
    <t>Los procedimientos administrativos para solicitar reconocimiento por méritos son ágiles.</t>
  </si>
  <si>
    <t>P39</t>
  </si>
  <si>
    <t>La institución ofrece apoyo administrativo para tramitar evidencias de méritos.</t>
  </si>
  <si>
    <t>P40</t>
  </si>
  <si>
    <t>Existen plazos razonables para evaluar solicitudes y entregar remuneraciones.</t>
  </si>
  <si>
    <t>P41</t>
  </si>
  <si>
    <t>Las actividades remuneradas por méritos generan beneficios directos para la formación estudiantil.</t>
  </si>
  <si>
    <t>P42</t>
  </si>
  <si>
    <t>Hay mecanismos para evaluar el impacto real de los méritos en la calidad educativa.</t>
  </si>
  <si>
    <t>P43</t>
  </si>
  <si>
    <t>¿Existe un ciclo formal de seguimiento y retroalimentación para el mejoramiento continuo basado en la evaluación docente?</t>
  </si>
  <si>
    <t>P44</t>
  </si>
  <si>
    <t>¿La evaluación a los profesores es coherente con las acciones de mejoramiento del programa?</t>
  </si>
  <si>
    <t>P45</t>
  </si>
  <si>
    <t>¿Reconoce evidencias que demuestran resultados positivos de la cooperación académica y científica del programa académico?</t>
  </si>
  <si>
    <t>P46</t>
  </si>
  <si>
    <t>¿Cómo evalúa la contribución de estas formas de cooperación en su labor docente e investigativa?</t>
  </si>
  <si>
    <t>P47</t>
  </si>
  <si>
    <t>¿Considera que las políticas de internacionalización del programa han generado resultados visibles en la cooperación académica y científica?</t>
  </si>
  <si>
    <t>P48</t>
  </si>
  <si>
    <t>¿Está satisfecho con los beneficios obtenidos a partir de estas políticas en su quehacer académico?</t>
  </si>
  <si>
    <t>P49</t>
  </si>
  <si>
    <t>¿Percibe que la cooperación internacional fortalece el alcance y calidad del programa académico?</t>
  </si>
  <si>
    <t>P50</t>
  </si>
  <si>
    <t>El programa dispone de rutas de formación que responden a las necesidades e intereses de los estudiantes.</t>
  </si>
  <si>
    <t>P51</t>
  </si>
  <si>
    <t>Los mecanismos de flexibilidad curricular permiten que los estudiantes recorran trayectorias formativas pertinentes.</t>
  </si>
  <si>
    <t>P52</t>
  </si>
  <si>
    <t>Las rutas de formación adoptadas por los estudiantes reflejan adecuadamente las oportunidades de flexibilidad ofrecidas por el programa.</t>
  </si>
  <si>
    <t>P53</t>
  </si>
  <si>
    <t>La institución y el programa cuentan con mecanismos y criterios claros para promover la interdisciplinariedad curricular.</t>
  </si>
  <si>
    <t>P54</t>
  </si>
  <si>
    <t>Las estrategias de interdisciplinariedad implementadas en el programa se reflejan efectivamente en los procesos formativos.</t>
  </si>
  <si>
    <t>P55</t>
  </si>
  <si>
    <t>La interdisciplinariedad curricular contribuye al mejoramiento de la calidad del programa.</t>
  </si>
  <si>
    <t>P56</t>
  </si>
  <si>
    <t>Las estrategias pedagógicas que se implementan en el programa son coherentes con los resultados de aprendizaje esperados.</t>
  </si>
  <si>
    <t>P57</t>
  </si>
  <si>
    <t>Las metodologías de enseñanza utilizadas en el programa favorecen el logro de los resultados de aprendizaje.</t>
  </si>
  <si>
    <t>P58</t>
  </si>
  <si>
    <t>Los escenarios de práctica, creación, laboratorio, proyecto o aplicación son pertinentes para el desarrollo de los resultados de aprendizaje.</t>
  </si>
  <si>
    <t>P59</t>
  </si>
  <si>
    <t>El acompañamiento brindado a los estudiantes durante el proceso formativo es adecuado para alcanzar los resultados de aprendizaje.</t>
  </si>
  <si>
    <t>P60</t>
  </si>
  <si>
    <t>¿Qué acción concreta recomienda para fortalecer la flexibilidad curricular, la interdisciplinariedad o las estrategias pedagógicas del programa?</t>
  </si>
  <si>
    <t>Pregunta</t>
  </si>
  <si>
    <t xml:space="preserve"> </t>
  </si>
  <si>
    <t>Opción</t>
  </si>
  <si>
    <t>Cantidad</t>
  </si>
  <si>
    <t>Porcentaje</t>
  </si>
  <si>
    <t>Docente de Cátedra</t>
  </si>
  <si>
    <t>Docente Ocasional</t>
  </si>
  <si>
    <t>Docente de Carrera</t>
  </si>
  <si>
    <t>Total</t>
  </si>
  <si>
    <t>Más de 6 años</t>
  </si>
  <si>
    <t>Entre 1 y 3 años</t>
  </si>
  <si>
    <t>Entre 4 y 6 años</t>
  </si>
  <si>
    <t>Producción Musical;</t>
  </si>
  <si>
    <t>Música;Producción Musical;</t>
  </si>
  <si>
    <t>Música;</t>
  </si>
  <si>
    <t>Música;Producción Musical;Investigación - Creación;Creación Musical;</t>
  </si>
  <si>
    <t>Música;Producción Musical;Creación Musical;</t>
  </si>
  <si>
    <t>Gestión Cultural;</t>
  </si>
  <si>
    <t>Diseño Sonoro;Audio para medios audiovisuales;</t>
  </si>
  <si>
    <t>Producción Musical;Creación Musical;</t>
  </si>
  <si>
    <t>Producción Musical;Audio para medios audiovisuales;Diseño Sonoro;</t>
  </si>
  <si>
    <t>Música;Creación Musical;</t>
  </si>
  <si>
    <t>Música;Arreglos Musicales;Investigación - Creación;Proyectos Interdisciplinarios;Creación Musical;</t>
  </si>
  <si>
    <t>Música;Producción Musical;Investigación - Creación;Proyectos Interdisciplinarios;Creación Musical;</t>
  </si>
  <si>
    <t>Audio para medios audiovisuales;Investigación - Creación;</t>
  </si>
  <si>
    <t>Audio para medios audiovisuales;</t>
  </si>
  <si>
    <t>Proyectos Interdisciplinarios;</t>
  </si>
  <si>
    <t>Producción Musical;Música;</t>
  </si>
  <si>
    <t>Producción Musical;Diseño Sonoro;Creación Musical;Investigación - Creación;</t>
  </si>
  <si>
    <t>Música;Investigación - Creación;Creación Musical;Arreglos Musicales;</t>
  </si>
  <si>
    <t>Música;Proyectos Interdisciplinarios;Investigación - Creación;Gestión Cultural;</t>
  </si>
  <si>
    <t>Investigación - Creación;</t>
  </si>
  <si>
    <t>Diseño Sonoro;Investigación - Creación;Proyectos Interdisciplinarios;</t>
  </si>
  <si>
    <t>Totalmente de acuerdo</t>
  </si>
  <si>
    <t>De acuerdo</t>
  </si>
  <si>
    <t>Ni de acuerdo ni en desacuerdo</t>
  </si>
  <si>
    <t>No sabe o No responde</t>
  </si>
  <si>
    <t>Nada de acuerdo</t>
  </si>
  <si>
    <t>Poco de acuerdo</t>
  </si>
  <si>
    <t>Entender las necesidades del mercado laboral y no solo pensar en procesos de investigación</t>
  </si>
  <si>
    <t>El respeto y prioridad a la veteranía al asignar cargas académicas</t>
  </si>
  <si>
    <t>Se podría mejorar la infraestructura.</t>
  </si>
  <si>
    <t>Mantener los profesores al frente de los procesos que inician y darles continuidad, eso garantiza resultados óptimos en los estudiantes y menos posibilidad de cancelación de asignaturas</t>
  </si>
  <si>
    <t>Laboratorios y mas aulas especializadas</t>
  </si>
  <si>
    <t>Cambio constante de cursos asignados, lo que desestabiliza un poco lo económico de los docentes, pero más aún, la solides en la continuidad de los contenidos con un docente con experiencia al haber dictado la misma asignatura en varias ocasiones.</t>
  </si>
  <si>
    <t>Ampliar los puestos en la carrera docente</t>
  </si>
  <si>
    <t>Horas para que los docentes de cátedra participen en procesos académicos diferentes a las clases.</t>
  </si>
  <si>
    <t>Que coexistan la investigación-creación con la investigación pura.</t>
  </si>
  <si>
    <t>Cotinuar con las convocatorias con base en los perfiles específicos de las competencias profesionales de los programas.</t>
  </si>
  <si>
    <t>Se podrían fotalecer capacitaciones y actualizaciones periódicas sobre tecnologías para la creación.</t>
  </si>
  <si>
    <t>Ninguna, el cuerpo docente está muy bien establecido.</t>
  </si>
  <si>
    <t>La contratación de docentes de tiempo completo en la medida en la que se amplían los cupos de estudiantes.</t>
  </si>
  <si>
    <t>Seguir elaborando perfiles competentes para las convocatorias acordes a las necesidades de los programas académicos y con miras a la actualización y mejora de sus programas.</t>
  </si>
  <si>
    <t>Talleres pedagógicos</t>
  </si>
  <si>
    <t>.</t>
  </si>
  <si>
    <t>Más diálogo entre los profesores</t>
  </si>
  <si>
    <t>dar horas a docentes de cátedra para un mayor involucramiento con lo estudiantes en entornos académicos y artísticos</t>
  </si>
  <si>
    <t>Criterios de formación en investigación creación</t>
  </si>
  <si>
    <t>Actualización continua en herramientas tecnológicas para la creación y producción musical y artística, por parte de la institución</t>
  </si>
  <si>
    <t>poder tener productores y compositores que enseñen el oficio.</t>
  </si>
  <si>
    <t>Conservar los procesos que los profesores inician en asignaturas que tienen varios niveles (ejemplo: armonías, teclados, etc)</t>
  </si>
  <si>
    <t>La vinculación de docentes de cátedra a semilleros de investigación, para facilitar relevos e inyección de nuevo capital humano.</t>
  </si>
  <si>
    <t>Actualizaciones docentes en las líneas académicas. Producción musical, mezcla y mastering. Etc.</t>
  </si>
  <si>
    <t>Continuar con los esfuerzos por incrementar la cantidad de profesores de carrera del programa, a través de convocatorias orientadas a cubrir las necesidades de docencia, investigación, extensión, internacionalización y aseguramiento de la calidad</t>
  </si>
  <si>
    <t>capacitaciones docentes en temas específicos asociados a los programas que imparte, para mantener los conocimientos actualizados, aparte de las capacitaciones continuas en docencia y otros temas con los que ya se cuentan.</t>
  </si>
  <si>
    <t>Cursos pedagógicos</t>
  </si>
  <si>
    <t>Se necesitan más docentes que tengan perfil para apoyar los procesos de calidad del programa. Muchos se quedan dando clase o investigando.</t>
  </si>
  <si>
    <t>Fortalecer la comunidad académica entre profesores de cátedra, ocasionales y de carrera mediante procesos de diálogo y comunicación permanente, con el fin de lograr mayor articulación y coherencia en los procesos formativos y en la secuencialidad de los resultados de aprendizaje de los estudiantes.</t>
  </si>
  <si>
    <t>Exigir medios, pruebas o resultados que evidencien su vigencia dentro de la industria musical y las necesidades de las nuevas mecánicas de la industria…</t>
  </si>
  <si>
    <t>Llevo casi tres años en la institución y no conozco a los demás compañeros. Sería bueno algunas reuniones para saber los nombres, cuales son sus intereses, de manera que más adelante si se necesita algo en el plano académico, saber a que profesor acudir</t>
  </si>
  <si>
    <t>No tengo comentarios al respecto</t>
  </si>
  <si>
    <t>Sin respuesta</t>
  </si>
  <si>
    <t>Ninguno</t>
  </si>
  <si>
    <t>Socialización</t>
  </si>
  <si>
    <t>n</t>
  </si>
  <si>
    <t>No sé</t>
  </si>
  <si>
    <t>tenerlos mas en cuenta a la hora de construcción de micro currículos</t>
  </si>
  <si>
    <t>Ninguno.</t>
  </si>
  <si>
    <t>El Reglamento del profesor de cátedra no ha sido socializado, tal vez debo indagar sobre el documento</t>
  </si>
  <si>
    <t>La actualización de los reglamentos en general para la Institución</t>
  </si>
  <si>
    <t>No sabe o no responde</t>
  </si>
  <si>
    <t>Ampliar la asignación de puntos a obras artísticas para el ascenso de los profesores de carrera.</t>
  </si>
  <si>
    <t>Haceer una mayor difusión del Estatuto Profesoral en el equipo de trabajo docente.</t>
  </si>
  <si>
    <t>Sería ideal establecer categorías de escalafón para los profesores ocasionales. Tener como "requisitos" de categoría haber terminado un doctorado o 15 años de experiencia es atípico en el contexto nacional. Reconocer la producción artística y de investigación-creación, de acuerdo con lo establecido en el Modelo de Medición de MinCiencias, para escalafonarse.</t>
  </si>
  <si>
    <t>Hasta ahora es claro y atiende todas las necesidades actuales.</t>
  </si>
  <si>
    <t>opción de participación de docentes de cátedra en actividades de investigación</t>
  </si>
  <si>
    <t>NS/NR</t>
  </si>
  <si>
    <t>Fortalecer la planta física</t>
  </si>
  <si>
    <t>Definir una proyección periódica para convocatorias de plazas docentes.</t>
  </si>
  <si>
    <t>Revisar la pertinencia para el programa de algunas de las producciones realizadas por los profesores.</t>
  </si>
  <si>
    <t>No tengo</t>
  </si>
  <si>
    <t>El docente de cátedra no puede establecer vínculos tan profundos con los programas continuos y de investigación ya que su realidad laboral le obliga a habitar los espacios académicos ITM de manera breve y puntual.</t>
  </si>
  <si>
    <t>A pesar de que ha habido un incremento en la cantidad de docentes de carrera, algunos de los procesos fundamentales del programa (como el enlace curricular) siguen estando en cabeza de docentes ocasionales. Se requiere mayor participación de los docentes de carrera en actividades de coordinación y enlace curricular, en coherencia con lo que establece el estatuto profesoral como funciones del profesor vinculado según su escalafón</t>
  </si>
  <si>
    <t>es un buen reglamento</t>
  </si>
  <si>
    <t>Se deben concertar más espacios para la divulgación periódica de los estatutos... Algunos profesores olvidan que nos rige un reglamento.</t>
  </si>
  <si>
    <t>Ofrecer más claridades, en detalle, sobre los procesos evaluativos para acceder a diferentes estímulos por docencia, investigación, extensión, etc.</t>
  </si>
  <si>
    <t>Más meritocracia y análisis más personalizado de los perfiles profesionales; y que los incentivos también se den en base a las calificaciones estudiantiles y a las evaluaciones docentes.</t>
  </si>
  <si>
    <t>Interesarse por los proyectos o las investigaciones que han realizado los docentes y darles visibilidad con conferencias, conversatorio a entre otros</t>
  </si>
  <si>
    <t>La comunicación del mismo y promoción podría revisarse</t>
  </si>
  <si>
    <t>Sí</t>
  </si>
  <si>
    <t>No conozco</t>
  </si>
  <si>
    <t>No</t>
  </si>
  <si>
    <t>Positiva</t>
  </si>
  <si>
    <t>No conozco estas colaboraciones</t>
  </si>
  <si>
    <t>No conozco las políticas de internacionalización del programa</t>
  </si>
  <si>
    <t>No conozco las políticas de cooperación del programa</t>
  </si>
  <si>
    <t>Totalmente en desacuerdo</t>
  </si>
  <si>
    <t>En desacuerdo</t>
  </si>
  <si>
    <t>Espacios para compartir entre docentes y mayor compromiso de los docentes del programa.</t>
  </si>
  <si>
    <t>Crear bancos de materias afines</t>
  </si>
  <si>
    <t>ahondar en la definición de interdisciplinariedades, considerando interdisciplinar internas y externas, y relación de lo académico con lo profesional.</t>
  </si>
  <si>
    <t>Ampliar la posobilidad de convenios interinstitucionales que permitan el quehacer formativo de los estudiantes.</t>
  </si>
  <si>
    <t>Establecer filtros para medir los resultados de aprendizaje en dos momentos del programa.</t>
  </si>
  <si>
    <t>En ka medida de lo posible, evaluar los pre requisitos de las asignaturas para saber cuáles se pueden liberar para permitir mas flexibilidad a la hora de tomar sus planes de estudio semestrales.</t>
  </si>
  <si>
    <t>Hacer registro de las actividades y activamente reunir al equipo docente en las áreas para promover el trabajo colectivo y encaminar los currículos hacia actividades concretas que aporten a todas las áreas.</t>
  </si>
  <si>
    <t>Proyectos entre diferentes programas</t>
  </si>
  <si>
    <t>unificar criterios y articularse entre docentes para que las estrategias tengan coherencia entre diferentes docentes.</t>
  </si>
  <si>
    <t>poder ver materias de otras carreras, abrir electivas que puedan sumar al oficio de productor musical.</t>
  </si>
  <si>
    <t>Ninguna</t>
  </si>
  <si>
    <t>No tengo ninguna en mente al momento de diligenciar la encuesta.</t>
  </si>
  <si>
    <t>Comunicación entre programas para abarcar diferentes saberes. Procesos de investigación conjuntos y vinculantes entre programas.</t>
  </si>
  <si>
    <t>Formalizar la inclusión la asignatura Taller de Creación Artística Interdisciplinar en los demás programas del Departamento de Artes</t>
  </si>
  <si>
    <t>Implementar proyectos académicos interdisciplinarios cortos en los que estudiantes de diferentes asignaturas trabajen sobre un mismo problema, integrando competencias de cada materia.</t>
  </si>
  <si>
    <t>Hay que fortalecer la apropiación de la política de resultados de aprendizaje por parte de los docentes (sobre todo los de cátedra, que generalmente se encuentran desconectados de los procesos institucionales)</t>
  </si>
  <si>
    <t>Se recomienda revisar la pertinencia de algunos prerrequisitos entre asignaturas, de manera que se favorezca una mayor flexibilidad curricular y se amplíen las posibilidades de los estudiantes para cursar materias de acuerdo con sus intereses académicos, sin afectar la coherencia del proceso formativo.</t>
  </si>
  <si>
    <t>Revisión de microcurriculos por lo menos anual</t>
  </si>
  <si>
    <t>En general considero que la universidad lo está haciendo bien en este aspecto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</si>
</sst>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0" borderId="0" xfId="0" applyFont="1"/>
    <xf numFmtId="0" fontId="1" fillId="0" borderId="1" xfId="0" applyFont="1" applyBorder="1" applyAlignment="1">
      <alignment horizontal="center" vertical="center"/>
    </xf>
    <xf numFmtId="0" fontId="0" fillId="0" borderId="1" xfId="0" applyBorder="1" applyAlignment="1">
      <alignment horizontal="left" vertical="center"/>
    </xf>
    <xf numFmtId="0" fontId="0" fillId="0" borderId="1" xfId="0" applyBorder="1"/>
    <xf numFmtId="0" fontId="0" fillId="0" borderId="1" xfId="0" applyBorder="1" applyAlignment="1">
      <alignment horizontal="center" vertical="center"/>
    </xf>
    <xf numFmtId="164" fontId="0" fillId="0" borderId="1" xfId="0" applyNumberFormat="1" applyBorder="1" applyAlignment="1">
      <alignment horizontal="center" vertical="center"/>
    </xf>
    <xf numFmtId="0" fontId="1" fillId="0" borderId="1" xfId="0" applyFont="1" applyBorder="1" applyAlignment="1">
      <alignment horizontal="left" vertical="center"/>
    </xf>
    <xf numFmtId="164" fontId="1" fillId="0" borderId="1" xfId="0" applyNumberFormat="1" applyFont="1" applyBorder="1" applyAlignment="1">
      <alignment horizontal="center" vertical="center"/>
    </xf>
    <xf numFmtId="0" fontId="0" fillId="0" borderId="1" xfId="0" applyBorder="1" applyAlignment="1">
      <alignment horizontal="left" vertical="center" wrapText="1"/>
    </xf>
    <xf numFmtId="0" fontId="1" fillId="0" borderId="1" xfId="0" applyFont="1" applyBorder="1" applyAlignment="1">
      <alignment horizontal="center" vertical="center" wrapText="1"/>
    </xf>
    <xf numFmtId="0" fontId="0" fillId="0" borderId="1" xfId="0" applyBorder="1" applyAlignment="1">
      <alignment wrapText="1"/>
    </xf>
    <xf numFmtId="0" fontId="1" fillId="0" borderId="1" xfId="0" applyFont="1" applyBorder="1" applyAlignment="1">
      <alignment horizontal="left" vertic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Docente de Carrera</c:v>
          </c:tx>
          <c:spPr>
            <a:solidFill>
              <a:srgbClr val="661081"/>
            </a:solidFill>
            <a:ln>
              <a:solidFill>
                <a:srgbClr val="661081"/>
              </a:solidFill>
              <a:prstDash val="solid"/>
            </a:ln>
          </c:spPr>
          <c:invertIfNegative val="1"/>
          <c:cat>
            <c:strRef>
              <c:f>'P1'!$D$2</c:f>
            </c:strRef>
          </c:cat>
          <c:val>
            <c:numRef>
              <c:f>'P1'!$B$6</c:f>
              <c:numCache>
                <c:formatCode>General</c:formatCode>
                <c:ptCount val="1"/>
                <c:pt idx="0">
                  <c:v>5</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D597-1D44-8E10-1396E5A0BA23}"/>
            </c:ext>
          </c:extLst>
        </c:ser>
        <c:ser>
          <c:idx val="1"/>
          <c:order val="1"/>
          <c:tx>
            <c:v>Docente Ocasional</c:v>
          </c:tx>
          <c:spPr>
            <a:solidFill>
              <a:srgbClr val="910581"/>
            </a:solidFill>
            <a:ln>
              <a:solidFill>
                <a:srgbClr val="910581"/>
              </a:solidFill>
              <a:prstDash val="solid"/>
            </a:ln>
          </c:spPr>
          <c:invertIfNegative val="1"/>
          <c:cat>
            <c:strRef>
              <c:f>'P1'!$D$2</c:f>
            </c:strRef>
          </c:cat>
          <c:val>
            <c:numRef>
              <c:f>'P1'!$B$5</c:f>
              <c:numCache>
                <c:formatCode>General</c:formatCode>
                <c:ptCount val="1"/>
                <c:pt idx="0">
                  <c:v>8</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D597-1D44-8E10-1396E5A0BA23}"/>
            </c:ext>
          </c:extLst>
        </c:ser>
        <c:ser>
          <c:idx val="2"/>
          <c:order val="2"/>
          <c:tx>
            <c:v>Docente de Cátedra</c:v>
          </c:tx>
          <c:spPr>
            <a:solidFill>
              <a:srgbClr val="9C095D"/>
            </a:solidFill>
            <a:ln>
              <a:solidFill>
                <a:srgbClr val="9C095D"/>
              </a:solidFill>
              <a:prstDash val="solid"/>
            </a:ln>
          </c:spPr>
          <c:invertIfNegative val="1"/>
          <c:cat>
            <c:strRef>
              <c:f>'P1'!$D$2</c:f>
            </c:strRef>
          </c:cat>
          <c:val>
            <c:numRef>
              <c:f>'P1'!$B$4</c:f>
              <c:numCache>
                <c:formatCode>General</c:formatCode>
                <c:ptCount val="1"/>
                <c:pt idx="0">
                  <c:v>19</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D597-1D44-8E10-1396E5A0BA23}"/>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Entre 4 y 6 años</c:v>
          </c:tx>
          <c:spPr>
            <a:solidFill>
              <a:srgbClr val="661081"/>
            </a:solidFill>
            <a:ln>
              <a:solidFill>
                <a:srgbClr val="661081"/>
              </a:solidFill>
              <a:prstDash val="solid"/>
            </a:ln>
          </c:spPr>
          <c:invertIfNegative val="1"/>
          <c:cat>
            <c:strRef>
              <c:f>'P2'!$D$2</c:f>
            </c:strRef>
          </c:cat>
          <c:val>
            <c:numRef>
              <c:f>'P2'!$B$6</c:f>
              <c:numCache>
                <c:formatCode>General</c:formatCode>
                <c:ptCount val="1"/>
                <c:pt idx="0">
                  <c:v>9</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19B7-8945-8878-1723ECE2C70A}"/>
            </c:ext>
          </c:extLst>
        </c:ser>
        <c:ser>
          <c:idx val="1"/>
          <c:order val="1"/>
          <c:tx>
            <c:v>Entre 1 y 3 años</c:v>
          </c:tx>
          <c:spPr>
            <a:solidFill>
              <a:srgbClr val="910581"/>
            </a:solidFill>
            <a:ln>
              <a:solidFill>
                <a:srgbClr val="910581"/>
              </a:solidFill>
              <a:prstDash val="solid"/>
            </a:ln>
          </c:spPr>
          <c:invertIfNegative val="1"/>
          <c:cat>
            <c:strRef>
              <c:f>'P2'!$D$2</c:f>
            </c:strRef>
          </c:cat>
          <c:val>
            <c:numRef>
              <c:f>'P2'!$B$5</c:f>
              <c:numCache>
                <c:formatCode>General</c:formatCode>
                <c:ptCount val="1"/>
                <c:pt idx="0">
                  <c:v>9</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19B7-8945-8878-1723ECE2C70A}"/>
            </c:ext>
          </c:extLst>
        </c:ser>
        <c:ser>
          <c:idx val="2"/>
          <c:order val="2"/>
          <c:tx>
            <c:v>Más de 6 años</c:v>
          </c:tx>
          <c:spPr>
            <a:solidFill>
              <a:srgbClr val="9C095D"/>
            </a:solidFill>
            <a:ln>
              <a:solidFill>
                <a:srgbClr val="9C095D"/>
              </a:solidFill>
              <a:prstDash val="solid"/>
            </a:ln>
          </c:spPr>
          <c:invertIfNegative val="1"/>
          <c:cat>
            <c:strRef>
              <c:f>'P2'!$D$2</c:f>
            </c:strRef>
          </c:cat>
          <c:val>
            <c:numRef>
              <c:f>'P2'!$B$4</c:f>
              <c:numCache>
                <c:formatCode>General</c:formatCode>
                <c:ptCount val="1"/>
                <c:pt idx="0">
                  <c:v>14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19B7-8945-8878-1723ECE2C70A}"/>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De acuerdo</c:v>
          </c:tx>
          <c:spPr>
            <a:solidFill>
              <a:srgbClr val="661081"/>
            </a:solidFill>
            <a:ln>
              <a:solidFill>
                <a:srgbClr val="661081"/>
              </a:solidFill>
              <a:prstDash val="solid"/>
            </a:ln>
          </c:spPr>
          <c:invertIfNegative val="1"/>
          <c:cat>
            <c:strRef>
              <c:f>'P4'!$D$2</c:f>
            </c:strRef>
          </c:cat>
          <c:val>
            <c:numRef>
              <c:f>'P4'!$B$5</c:f>
              <c:numCache>
                <c:formatCode>General</c:formatCode>
                <c:ptCount val="1"/>
                <c:pt idx="0">
                  <c:v>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50CA-924C-AB04-AE78F4765B90}"/>
            </c:ext>
          </c:extLst>
        </c:ser>
        <c:ser>
          <c:idx val="1"/>
          <c:order val="1"/>
          <c:tx>
            <c:v>Totalmente de acuerdo</c:v>
          </c:tx>
          <c:spPr>
            <a:solidFill>
              <a:srgbClr val="910581"/>
            </a:solidFill>
            <a:ln>
              <a:solidFill>
                <a:srgbClr val="910581"/>
              </a:solidFill>
              <a:prstDash val="solid"/>
            </a:ln>
          </c:spPr>
          <c:invertIfNegative val="1"/>
          <c:cat>
            <c:strRef>
              <c:f>'P4'!$D$2</c:f>
            </c:strRef>
          </c:cat>
          <c:val>
            <c:numRef>
              <c:f>'P4'!$B$4</c:f>
              <c:numCache>
                <c:formatCode>General</c:formatCode>
                <c:ptCount val="1"/>
                <c:pt idx="0">
                  <c:v>25</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50CA-924C-AB04-AE78F4765B90}"/>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Ni de acuerdo ni en desacuerdo</c:v>
          </c:tx>
          <c:spPr>
            <a:solidFill>
              <a:srgbClr val="661081"/>
            </a:solidFill>
            <a:ln>
              <a:solidFill>
                <a:srgbClr val="661081"/>
              </a:solidFill>
              <a:prstDash val="solid"/>
            </a:ln>
          </c:spPr>
          <c:invertIfNegative val="1"/>
          <c:cat>
            <c:strRef>
              <c:f>'P5'!$D$2</c:f>
            </c:strRef>
          </c:cat>
          <c:val>
            <c:numRef>
              <c:f>'P5'!$B$6</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7556-0D43-8DEC-4F1494D050A5}"/>
            </c:ext>
          </c:extLst>
        </c:ser>
        <c:ser>
          <c:idx val="1"/>
          <c:order val="1"/>
          <c:tx>
            <c:v>De acuerdo</c:v>
          </c:tx>
          <c:spPr>
            <a:solidFill>
              <a:srgbClr val="910581"/>
            </a:solidFill>
            <a:ln>
              <a:solidFill>
                <a:srgbClr val="910581"/>
              </a:solidFill>
              <a:prstDash val="solid"/>
            </a:ln>
          </c:spPr>
          <c:invertIfNegative val="1"/>
          <c:cat>
            <c:strRef>
              <c:f>'P5'!$D$2</c:f>
            </c:strRef>
          </c:cat>
          <c:val>
            <c:numRef>
              <c:f>'P5'!$B$5</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7556-0D43-8DEC-4F1494D050A5}"/>
            </c:ext>
          </c:extLst>
        </c:ser>
        <c:ser>
          <c:idx val="2"/>
          <c:order val="2"/>
          <c:tx>
            <c:v>Totalmente de acuerdo</c:v>
          </c:tx>
          <c:spPr>
            <a:solidFill>
              <a:srgbClr val="9C095D"/>
            </a:solidFill>
            <a:ln>
              <a:solidFill>
                <a:srgbClr val="9C095D"/>
              </a:solidFill>
              <a:prstDash val="solid"/>
            </a:ln>
          </c:spPr>
          <c:invertIfNegative val="1"/>
          <c:cat>
            <c:strRef>
              <c:f>'P5'!$D$2</c:f>
            </c:strRef>
          </c:cat>
          <c:val>
            <c:numRef>
              <c:f>'P5'!$B$4</c:f>
              <c:numCache>
                <c:formatCode>General</c:formatCode>
                <c:ptCount val="1"/>
                <c:pt idx="0">
                  <c:v>29</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7556-0D43-8DEC-4F1494D050A5}"/>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Ni de acuerdo ni en desacuerdo</c:v>
          </c:tx>
          <c:spPr>
            <a:solidFill>
              <a:srgbClr val="661081"/>
            </a:solidFill>
            <a:ln>
              <a:solidFill>
                <a:srgbClr val="661081"/>
              </a:solidFill>
              <a:prstDash val="solid"/>
            </a:ln>
          </c:spPr>
          <c:invertIfNegative val="1"/>
          <c:cat>
            <c:strRef>
              <c:f>'P6'!$D$2</c:f>
            </c:strRef>
          </c:cat>
          <c:val>
            <c:numRef>
              <c:f>'P6'!$B$6</c:f>
              <c:numCache>
                <c:formatCode>General</c:formatCode>
                <c:ptCount val="1"/>
                <c:pt idx="0">
                  <c:v>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57B1-C042-8809-1B6F72A28F87}"/>
            </c:ext>
          </c:extLst>
        </c:ser>
        <c:ser>
          <c:idx val="1"/>
          <c:order val="1"/>
          <c:tx>
            <c:v>De acuerdo</c:v>
          </c:tx>
          <c:spPr>
            <a:solidFill>
              <a:srgbClr val="910581"/>
            </a:solidFill>
            <a:ln>
              <a:solidFill>
                <a:srgbClr val="910581"/>
              </a:solidFill>
              <a:prstDash val="solid"/>
            </a:ln>
          </c:spPr>
          <c:invertIfNegative val="1"/>
          <c:cat>
            <c:strRef>
              <c:f>'P6'!$D$2</c:f>
            </c:strRef>
          </c:cat>
          <c:val>
            <c:numRef>
              <c:f>'P6'!$B$5</c:f>
              <c:numCache>
                <c:formatCode>General</c:formatCode>
                <c:ptCount val="1"/>
                <c:pt idx="0">
                  <c:v>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57B1-C042-8809-1B6F72A28F87}"/>
            </c:ext>
          </c:extLst>
        </c:ser>
        <c:ser>
          <c:idx val="2"/>
          <c:order val="2"/>
          <c:tx>
            <c:v>Totalmente de acuerdo</c:v>
          </c:tx>
          <c:spPr>
            <a:solidFill>
              <a:srgbClr val="9C095D"/>
            </a:solidFill>
            <a:ln>
              <a:solidFill>
                <a:srgbClr val="9C095D"/>
              </a:solidFill>
              <a:prstDash val="solid"/>
            </a:ln>
          </c:spPr>
          <c:invertIfNegative val="1"/>
          <c:cat>
            <c:strRef>
              <c:f>'P6'!$D$2</c:f>
            </c:strRef>
          </c:cat>
          <c:val>
            <c:numRef>
              <c:f>'P6'!$B$4</c:f>
              <c:numCache>
                <c:formatCode>General</c:formatCode>
                <c:ptCount val="1"/>
                <c:pt idx="0">
                  <c:v>21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57B1-C042-8809-1B6F72A28F87}"/>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De acuerdo</c:v>
          </c:tx>
          <c:spPr>
            <a:solidFill>
              <a:srgbClr val="661081"/>
            </a:solidFill>
            <a:ln>
              <a:solidFill>
                <a:srgbClr val="661081"/>
              </a:solidFill>
              <a:prstDash val="solid"/>
            </a:ln>
          </c:spPr>
          <c:invertIfNegative val="1"/>
          <c:cat>
            <c:strRef>
              <c:f>'P7'!$D$2</c:f>
            </c:strRef>
          </c:cat>
          <c:val>
            <c:numRef>
              <c:f>'P7'!$B$5</c:f>
              <c:numCache>
                <c:formatCode>General</c:formatCode>
                <c:ptCount val="1"/>
                <c:pt idx="0">
                  <c:v>10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ABED-FD4E-97C9-2D486D4CFDA7}"/>
            </c:ext>
          </c:extLst>
        </c:ser>
        <c:ser>
          <c:idx val="1"/>
          <c:order val="1"/>
          <c:tx>
            <c:v>Totalmente de acuerdo</c:v>
          </c:tx>
          <c:spPr>
            <a:solidFill>
              <a:srgbClr val="910581"/>
            </a:solidFill>
            <a:ln>
              <a:solidFill>
                <a:srgbClr val="910581"/>
              </a:solidFill>
              <a:prstDash val="solid"/>
            </a:ln>
          </c:spPr>
          <c:invertIfNegative val="1"/>
          <c:cat>
            <c:strRef>
              <c:f>'P7'!$D$2</c:f>
            </c:strRef>
          </c:cat>
          <c:val>
            <c:numRef>
              <c:f>'P7'!$B$4</c:f>
              <c:numCache>
                <c:formatCode>General</c:formatCode>
                <c:ptCount val="1"/>
                <c:pt idx="0">
                  <c:v>22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ABED-FD4E-97C9-2D486D4CFDA7}"/>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No sabe o No responde</c:v>
          </c:tx>
          <c:spPr>
            <a:solidFill>
              <a:srgbClr val="661081"/>
            </a:solidFill>
            <a:ln>
              <a:solidFill>
                <a:srgbClr val="661081"/>
              </a:solidFill>
              <a:prstDash val="solid"/>
            </a:ln>
          </c:spPr>
          <c:invertIfNegative val="1"/>
          <c:cat>
            <c:strRef>
              <c:f>'P8'!$D$2</c:f>
            </c:strRef>
          </c:cat>
          <c:val>
            <c:numRef>
              <c:f>'P8'!$B$7</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6EF2-7B46-B6E6-314504E5BC09}"/>
            </c:ext>
          </c:extLst>
        </c:ser>
        <c:ser>
          <c:idx val="1"/>
          <c:order val="1"/>
          <c:tx>
            <c:v>Ni de acuerdo ni en desacuerdo</c:v>
          </c:tx>
          <c:spPr>
            <a:solidFill>
              <a:srgbClr val="910581"/>
            </a:solidFill>
            <a:ln>
              <a:solidFill>
                <a:srgbClr val="910581"/>
              </a:solidFill>
              <a:prstDash val="solid"/>
            </a:ln>
          </c:spPr>
          <c:invertIfNegative val="1"/>
          <c:cat>
            <c:strRef>
              <c:f>'P8'!$D$2</c:f>
            </c:strRef>
          </c:cat>
          <c:val>
            <c:numRef>
              <c:f>'P8'!$B$6</c:f>
              <c:numCache>
                <c:formatCode>General</c:formatCode>
                <c:ptCount val="1"/>
                <c:pt idx="0">
                  <c:v>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6EF2-7B46-B6E6-314504E5BC09}"/>
            </c:ext>
          </c:extLst>
        </c:ser>
        <c:ser>
          <c:idx val="2"/>
          <c:order val="2"/>
          <c:tx>
            <c:v>De acuerdo</c:v>
          </c:tx>
          <c:spPr>
            <a:solidFill>
              <a:srgbClr val="9C095D"/>
            </a:solidFill>
            <a:ln>
              <a:solidFill>
                <a:srgbClr val="9C095D"/>
              </a:solidFill>
              <a:prstDash val="solid"/>
            </a:ln>
          </c:spPr>
          <c:invertIfNegative val="1"/>
          <c:cat>
            <c:strRef>
              <c:f>'P8'!$D$2</c:f>
            </c:strRef>
          </c:cat>
          <c:val>
            <c:numRef>
              <c:f>'P8'!$B$5</c:f>
              <c:numCache>
                <c:formatCode>General</c:formatCode>
                <c:ptCount val="1"/>
                <c:pt idx="0">
                  <c:v>10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6EF2-7B46-B6E6-314504E5BC09}"/>
            </c:ext>
          </c:extLst>
        </c:ser>
        <c:ser>
          <c:idx val="3"/>
          <c:order val="3"/>
          <c:tx>
            <c:v>Totalmente de acuerdo</c:v>
          </c:tx>
          <c:spPr>
            <a:solidFill>
              <a:srgbClr val="102D69"/>
            </a:solidFill>
            <a:ln>
              <a:solidFill>
                <a:srgbClr val="102D69"/>
              </a:solidFill>
              <a:prstDash val="solid"/>
            </a:ln>
          </c:spPr>
          <c:invertIfNegative val="1"/>
          <c:cat>
            <c:strRef>
              <c:f>'P8'!$D$2</c:f>
            </c:strRef>
          </c:cat>
          <c:val>
            <c:numRef>
              <c:f>'P8'!$B$4</c:f>
              <c:numCache>
                <c:formatCode>General</c:formatCode>
                <c:ptCount val="1"/>
                <c:pt idx="0">
                  <c:v>18</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6EF2-7B46-B6E6-314504E5BC09}"/>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No sabe o No responde</c:v>
          </c:tx>
          <c:spPr>
            <a:solidFill>
              <a:srgbClr val="661081"/>
            </a:solidFill>
            <a:ln>
              <a:solidFill>
                <a:srgbClr val="661081"/>
              </a:solidFill>
              <a:prstDash val="solid"/>
            </a:ln>
          </c:spPr>
          <c:invertIfNegative val="1"/>
          <c:cat>
            <c:strRef>
              <c:f>'P9'!$D$2</c:f>
            </c:strRef>
          </c:cat>
          <c:val>
            <c:numRef>
              <c:f>'P9'!$B$8</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E6AF-7D49-9120-4CC4B00274A5}"/>
            </c:ext>
          </c:extLst>
        </c:ser>
        <c:ser>
          <c:idx val="1"/>
          <c:order val="1"/>
          <c:tx>
            <c:v>Nada de acuerdo</c:v>
          </c:tx>
          <c:spPr>
            <a:solidFill>
              <a:srgbClr val="910581"/>
            </a:solidFill>
            <a:ln>
              <a:solidFill>
                <a:srgbClr val="910581"/>
              </a:solidFill>
              <a:prstDash val="solid"/>
            </a:ln>
          </c:spPr>
          <c:invertIfNegative val="1"/>
          <c:cat>
            <c:strRef>
              <c:f>'P9'!$D$2</c:f>
            </c:strRef>
          </c:cat>
          <c:val>
            <c:numRef>
              <c:f>'P9'!$B$7</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E6AF-7D49-9120-4CC4B00274A5}"/>
            </c:ext>
          </c:extLst>
        </c:ser>
        <c:ser>
          <c:idx val="2"/>
          <c:order val="2"/>
          <c:tx>
            <c:v>Ni de acuerdo ni en desacuerdo</c:v>
          </c:tx>
          <c:spPr>
            <a:solidFill>
              <a:srgbClr val="9C095D"/>
            </a:solidFill>
            <a:ln>
              <a:solidFill>
                <a:srgbClr val="9C095D"/>
              </a:solidFill>
              <a:prstDash val="solid"/>
            </a:ln>
          </c:spPr>
          <c:invertIfNegative val="1"/>
          <c:cat>
            <c:strRef>
              <c:f>'P9'!$D$2</c:f>
            </c:strRef>
          </c:cat>
          <c:val>
            <c:numRef>
              <c:f>'P9'!$B$6</c:f>
              <c:numCache>
                <c:formatCode>General</c:formatCode>
                <c:ptCount val="1"/>
                <c:pt idx="0">
                  <c:v>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E6AF-7D49-9120-4CC4B00274A5}"/>
            </c:ext>
          </c:extLst>
        </c:ser>
        <c:ser>
          <c:idx val="3"/>
          <c:order val="3"/>
          <c:tx>
            <c:v>De acuerdo</c:v>
          </c:tx>
          <c:spPr>
            <a:solidFill>
              <a:srgbClr val="102D69"/>
            </a:solidFill>
            <a:ln>
              <a:solidFill>
                <a:srgbClr val="102D69"/>
              </a:solidFill>
              <a:prstDash val="solid"/>
            </a:ln>
          </c:spPr>
          <c:invertIfNegative val="1"/>
          <c:cat>
            <c:strRef>
              <c:f>'P9'!$D$2</c:f>
            </c:strRef>
          </c:cat>
          <c:val>
            <c:numRef>
              <c:f>'P9'!$B$5</c:f>
              <c:numCache>
                <c:formatCode>General</c:formatCode>
                <c:ptCount val="1"/>
                <c:pt idx="0">
                  <c:v>10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E6AF-7D49-9120-4CC4B00274A5}"/>
            </c:ext>
          </c:extLst>
        </c:ser>
        <c:ser>
          <c:idx val="4"/>
          <c:order val="4"/>
          <c:tx>
            <c:v>Totalmente de acuerdo</c:v>
          </c:tx>
          <c:spPr>
            <a:solidFill>
              <a:srgbClr val="00A0B7"/>
            </a:solidFill>
            <a:ln>
              <a:solidFill>
                <a:srgbClr val="00A0B7"/>
              </a:solidFill>
              <a:prstDash val="solid"/>
            </a:ln>
          </c:spPr>
          <c:invertIfNegative val="1"/>
          <c:cat>
            <c:strRef>
              <c:f>'P9'!$D$2</c:f>
            </c:strRef>
          </c:cat>
          <c:val>
            <c:numRef>
              <c:f>'P9'!$B$4</c:f>
              <c:numCache>
                <c:formatCode>General</c:formatCode>
                <c:ptCount val="1"/>
                <c:pt idx="0">
                  <c:v>14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0A0B7"/>
                    </a:solidFill>
                    <a:prstDash val="solid"/>
                  </a:ln>
                </c14:spPr>
              </c14:invertSolidFillFmt>
            </c:ext>
            <c:ext xmlns:c16="http://schemas.microsoft.com/office/drawing/2014/chart" uri="{C3380CC4-5D6E-409C-BE32-E72D297353CC}">
              <c16:uniqueId val="{00000004-E6AF-7D49-9120-4CC4B00274A5}"/>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Nada de acuerdo</c:v>
          </c:tx>
          <c:spPr>
            <a:solidFill>
              <a:srgbClr val="661081"/>
            </a:solidFill>
            <a:ln>
              <a:solidFill>
                <a:srgbClr val="661081"/>
              </a:solidFill>
              <a:prstDash val="solid"/>
            </a:ln>
          </c:spPr>
          <c:invertIfNegative val="1"/>
          <c:cat>
            <c:strRef>
              <c:f>'P10'!$D$2</c:f>
            </c:strRef>
          </c:cat>
          <c:val>
            <c:numRef>
              <c:f>'P10'!$B$8</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00D4-D24A-BB08-DEDBA320480F}"/>
            </c:ext>
          </c:extLst>
        </c:ser>
        <c:ser>
          <c:idx val="1"/>
          <c:order val="1"/>
          <c:tx>
            <c:v>Ni de acuerdo ni en desacuerdo</c:v>
          </c:tx>
          <c:spPr>
            <a:solidFill>
              <a:srgbClr val="910581"/>
            </a:solidFill>
            <a:ln>
              <a:solidFill>
                <a:srgbClr val="910581"/>
              </a:solidFill>
              <a:prstDash val="solid"/>
            </a:ln>
          </c:spPr>
          <c:invertIfNegative val="1"/>
          <c:cat>
            <c:strRef>
              <c:f>'P10'!$D$2</c:f>
            </c:strRef>
          </c:cat>
          <c:val>
            <c:numRef>
              <c:f>'P10'!$B$7</c:f>
              <c:numCache>
                <c:formatCode>General</c:formatCode>
                <c:ptCount val="1"/>
                <c:pt idx="0">
                  <c:v>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00D4-D24A-BB08-DEDBA320480F}"/>
            </c:ext>
          </c:extLst>
        </c:ser>
        <c:ser>
          <c:idx val="2"/>
          <c:order val="2"/>
          <c:tx>
            <c:v>Poco de acuerdo</c:v>
          </c:tx>
          <c:spPr>
            <a:solidFill>
              <a:srgbClr val="9C095D"/>
            </a:solidFill>
            <a:ln>
              <a:solidFill>
                <a:srgbClr val="9C095D"/>
              </a:solidFill>
              <a:prstDash val="solid"/>
            </a:ln>
          </c:spPr>
          <c:invertIfNegative val="1"/>
          <c:cat>
            <c:strRef>
              <c:f>'P10'!$D$2</c:f>
            </c:strRef>
          </c:cat>
          <c:val>
            <c:numRef>
              <c:f>'P10'!$B$6</c:f>
              <c:numCache>
                <c:formatCode>General</c:formatCode>
                <c:ptCount val="1"/>
                <c:pt idx="0">
                  <c:v>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00D4-D24A-BB08-DEDBA320480F}"/>
            </c:ext>
          </c:extLst>
        </c:ser>
        <c:ser>
          <c:idx val="3"/>
          <c:order val="3"/>
          <c:tx>
            <c:v>De acuerdo</c:v>
          </c:tx>
          <c:spPr>
            <a:solidFill>
              <a:srgbClr val="102D69"/>
            </a:solidFill>
            <a:ln>
              <a:solidFill>
                <a:srgbClr val="102D69"/>
              </a:solidFill>
              <a:prstDash val="solid"/>
            </a:ln>
          </c:spPr>
          <c:invertIfNegative val="1"/>
          <c:cat>
            <c:strRef>
              <c:f>'P10'!$D$2</c:f>
            </c:strRef>
          </c:cat>
          <c:val>
            <c:numRef>
              <c:f>'P10'!$B$5</c:f>
              <c:numCache>
                <c:formatCode>General</c:formatCode>
                <c:ptCount val="1"/>
                <c:pt idx="0">
                  <c:v>14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00D4-D24A-BB08-DEDBA320480F}"/>
            </c:ext>
          </c:extLst>
        </c:ser>
        <c:ser>
          <c:idx val="4"/>
          <c:order val="4"/>
          <c:tx>
            <c:v>Totalmente de acuerdo</c:v>
          </c:tx>
          <c:spPr>
            <a:solidFill>
              <a:srgbClr val="00A0B7"/>
            </a:solidFill>
            <a:ln>
              <a:solidFill>
                <a:srgbClr val="00A0B7"/>
              </a:solidFill>
              <a:prstDash val="solid"/>
            </a:ln>
          </c:spPr>
          <c:invertIfNegative val="1"/>
          <c:cat>
            <c:strRef>
              <c:f>'P10'!$D$2</c:f>
            </c:strRef>
          </c:cat>
          <c:val>
            <c:numRef>
              <c:f>'P10'!$B$4</c:f>
              <c:numCache>
                <c:formatCode>General</c:formatCode>
                <c:ptCount val="1"/>
                <c:pt idx="0">
                  <c:v>6</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0A0B7"/>
                    </a:solidFill>
                    <a:prstDash val="solid"/>
                  </a:ln>
                </c14:spPr>
              </c14:invertSolidFillFmt>
            </c:ext>
            <c:ext xmlns:c16="http://schemas.microsoft.com/office/drawing/2014/chart" uri="{C3380CC4-5D6E-409C-BE32-E72D297353CC}">
              <c16:uniqueId val="{00000004-00D4-D24A-BB08-DEDBA320480F}"/>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Nada de acuerdo</c:v>
          </c:tx>
          <c:spPr>
            <a:solidFill>
              <a:srgbClr val="661081"/>
            </a:solidFill>
            <a:ln>
              <a:solidFill>
                <a:srgbClr val="661081"/>
              </a:solidFill>
              <a:prstDash val="solid"/>
            </a:ln>
          </c:spPr>
          <c:invertIfNegative val="1"/>
          <c:cat>
            <c:strRef>
              <c:f>'P11'!$D$2</c:f>
            </c:strRef>
          </c:cat>
          <c:val>
            <c:numRef>
              <c:f>'P11'!$B$8</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FEE9-E641-85DB-932424523C6C}"/>
            </c:ext>
          </c:extLst>
        </c:ser>
        <c:ser>
          <c:idx val="1"/>
          <c:order val="1"/>
          <c:tx>
            <c:v>Ni de acuerdo ni en desacuerdo</c:v>
          </c:tx>
          <c:spPr>
            <a:solidFill>
              <a:srgbClr val="910581"/>
            </a:solidFill>
            <a:ln>
              <a:solidFill>
                <a:srgbClr val="910581"/>
              </a:solidFill>
              <a:prstDash val="solid"/>
            </a:ln>
          </c:spPr>
          <c:invertIfNegative val="1"/>
          <c:cat>
            <c:strRef>
              <c:f>'P11'!$D$2</c:f>
            </c:strRef>
          </c:cat>
          <c:val>
            <c:numRef>
              <c:f>'P11'!$B$7</c:f>
              <c:numCache>
                <c:formatCode>General</c:formatCode>
                <c:ptCount val="1"/>
                <c:pt idx="0">
                  <c:v>5</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FEE9-E641-85DB-932424523C6C}"/>
            </c:ext>
          </c:extLst>
        </c:ser>
        <c:ser>
          <c:idx val="2"/>
          <c:order val="2"/>
          <c:tx>
            <c:v>Poco de acuerdo</c:v>
          </c:tx>
          <c:spPr>
            <a:solidFill>
              <a:srgbClr val="9C095D"/>
            </a:solidFill>
            <a:ln>
              <a:solidFill>
                <a:srgbClr val="9C095D"/>
              </a:solidFill>
              <a:prstDash val="solid"/>
            </a:ln>
          </c:spPr>
          <c:invertIfNegative val="1"/>
          <c:cat>
            <c:strRef>
              <c:f>'P11'!$D$2</c:f>
            </c:strRef>
          </c:cat>
          <c:val>
            <c:numRef>
              <c:f>'P11'!$B$6</c:f>
              <c:numCache>
                <c:formatCode>General</c:formatCode>
                <c:ptCount val="1"/>
                <c:pt idx="0">
                  <c:v>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FEE9-E641-85DB-932424523C6C}"/>
            </c:ext>
          </c:extLst>
        </c:ser>
        <c:ser>
          <c:idx val="3"/>
          <c:order val="3"/>
          <c:tx>
            <c:v>De acuerdo</c:v>
          </c:tx>
          <c:spPr>
            <a:solidFill>
              <a:srgbClr val="102D69"/>
            </a:solidFill>
            <a:ln>
              <a:solidFill>
                <a:srgbClr val="102D69"/>
              </a:solidFill>
              <a:prstDash val="solid"/>
            </a:ln>
          </c:spPr>
          <c:invertIfNegative val="1"/>
          <c:cat>
            <c:strRef>
              <c:f>'P11'!$D$2</c:f>
            </c:strRef>
          </c:cat>
          <c:val>
            <c:numRef>
              <c:f>'P11'!$B$5</c:f>
              <c:numCache>
                <c:formatCode>General</c:formatCode>
                <c:ptCount val="1"/>
                <c:pt idx="0">
                  <c:v>11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FEE9-E641-85DB-932424523C6C}"/>
            </c:ext>
          </c:extLst>
        </c:ser>
        <c:ser>
          <c:idx val="4"/>
          <c:order val="4"/>
          <c:tx>
            <c:v>Totalmente de acuerdo</c:v>
          </c:tx>
          <c:spPr>
            <a:solidFill>
              <a:srgbClr val="00A0B7"/>
            </a:solidFill>
            <a:ln>
              <a:solidFill>
                <a:srgbClr val="00A0B7"/>
              </a:solidFill>
              <a:prstDash val="solid"/>
            </a:ln>
          </c:spPr>
          <c:invertIfNegative val="1"/>
          <c:cat>
            <c:strRef>
              <c:f>'P11'!$D$2</c:f>
            </c:strRef>
          </c:cat>
          <c:val>
            <c:numRef>
              <c:f>'P11'!$B$4</c:f>
              <c:numCache>
                <c:formatCode>General</c:formatCode>
                <c:ptCount val="1"/>
                <c:pt idx="0">
                  <c:v>12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0A0B7"/>
                    </a:solidFill>
                    <a:prstDash val="solid"/>
                  </a:ln>
                </c14:spPr>
              </c14:invertSolidFillFmt>
            </c:ext>
            <c:ext xmlns:c16="http://schemas.microsoft.com/office/drawing/2014/chart" uri="{C3380CC4-5D6E-409C-BE32-E72D297353CC}">
              <c16:uniqueId val="{00000004-FEE9-E641-85DB-932424523C6C}"/>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Poco de acuerdo</c:v>
          </c:tx>
          <c:spPr>
            <a:solidFill>
              <a:srgbClr val="661081"/>
            </a:solidFill>
            <a:ln>
              <a:solidFill>
                <a:srgbClr val="661081"/>
              </a:solidFill>
              <a:prstDash val="solid"/>
            </a:ln>
          </c:spPr>
          <c:invertIfNegative val="1"/>
          <c:cat>
            <c:strRef>
              <c:f>'P12'!$D$2</c:f>
            </c:strRef>
          </c:cat>
          <c:val>
            <c:numRef>
              <c:f>'P12'!$B$6</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B25F-E149-BC17-8C096F803E84}"/>
            </c:ext>
          </c:extLst>
        </c:ser>
        <c:ser>
          <c:idx val="1"/>
          <c:order val="1"/>
          <c:tx>
            <c:v>De acuerdo</c:v>
          </c:tx>
          <c:spPr>
            <a:solidFill>
              <a:srgbClr val="910581"/>
            </a:solidFill>
            <a:ln>
              <a:solidFill>
                <a:srgbClr val="910581"/>
              </a:solidFill>
              <a:prstDash val="solid"/>
            </a:ln>
          </c:spPr>
          <c:invertIfNegative val="1"/>
          <c:cat>
            <c:strRef>
              <c:f>'P12'!$D$2</c:f>
            </c:strRef>
          </c:cat>
          <c:val>
            <c:numRef>
              <c:f>'P12'!$B$5</c:f>
              <c:numCache>
                <c:formatCode>General</c:formatCode>
                <c:ptCount val="1"/>
                <c:pt idx="0">
                  <c:v>11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B25F-E149-BC17-8C096F803E84}"/>
            </c:ext>
          </c:extLst>
        </c:ser>
        <c:ser>
          <c:idx val="2"/>
          <c:order val="2"/>
          <c:tx>
            <c:v>Totalmente de acuerdo</c:v>
          </c:tx>
          <c:spPr>
            <a:solidFill>
              <a:srgbClr val="9C095D"/>
            </a:solidFill>
            <a:ln>
              <a:solidFill>
                <a:srgbClr val="9C095D"/>
              </a:solidFill>
              <a:prstDash val="solid"/>
            </a:ln>
          </c:spPr>
          <c:invertIfNegative val="1"/>
          <c:cat>
            <c:strRef>
              <c:f>'P12'!$D$2</c:f>
            </c:strRef>
          </c:cat>
          <c:val>
            <c:numRef>
              <c:f>'P12'!$B$4</c:f>
              <c:numCache>
                <c:formatCode>General</c:formatCode>
                <c:ptCount val="1"/>
                <c:pt idx="0">
                  <c:v>20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B25F-E149-BC17-8C096F803E84}"/>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No sabe o No responde</c:v>
          </c:tx>
          <c:spPr>
            <a:solidFill>
              <a:srgbClr val="661081"/>
            </a:solidFill>
            <a:ln>
              <a:solidFill>
                <a:srgbClr val="661081"/>
              </a:solidFill>
              <a:prstDash val="solid"/>
            </a:ln>
          </c:spPr>
          <c:invertIfNegative val="1"/>
          <c:cat>
            <c:strRef>
              <c:f>'P13'!$D$2</c:f>
            </c:strRef>
          </c:cat>
          <c:val>
            <c:numRef>
              <c:f>'P13'!$B$8</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2F59-9C4C-86C5-D82A5D46B702}"/>
            </c:ext>
          </c:extLst>
        </c:ser>
        <c:ser>
          <c:idx val="1"/>
          <c:order val="1"/>
          <c:tx>
            <c:v>Ni de acuerdo ni en desacuerdo</c:v>
          </c:tx>
          <c:spPr>
            <a:solidFill>
              <a:srgbClr val="910581"/>
            </a:solidFill>
            <a:ln>
              <a:solidFill>
                <a:srgbClr val="910581"/>
              </a:solidFill>
              <a:prstDash val="solid"/>
            </a:ln>
          </c:spPr>
          <c:invertIfNegative val="1"/>
          <c:cat>
            <c:strRef>
              <c:f>'P13'!$D$2</c:f>
            </c:strRef>
          </c:cat>
          <c:val>
            <c:numRef>
              <c:f>'P13'!$B$7</c:f>
              <c:numCache>
                <c:formatCode>General</c:formatCode>
                <c:ptCount val="1"/>
                <c:pt idx="0">
                  <c:v>5</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2F59-9C4C-86C5-D82A5D46B702}"/>
            </c:ext>
          </c:extLst>
        </c:ser>
        <c:ser>
          <c:idx val="2"/>
          <c:order val="2"/>
          <c:tx>
            <c:v>Poco de acuerdo</c:v>
          </c:tx>
          <c:spPr>
            <a:solidFill>
              <a:srgbClr val="9C095D"/>
            </a:solidFill>
            <a:ln>
              <a:solidFill>
                <a:srgbClr val="9C095D"/>
              </a:solidFill>
              <a:prstDash val="solid"/>
            </a:ln>
          </c:spPr>
          <c:invertIfNegative val="1"/>
          <c:cat>
            <c:strRef>
              <c:f>'P13'!$D$2</c:f>
            </c:strRef>
          </c:cat>
          <c:val>
            <c:numRef>
              <c:f>'P13'!$B$6</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2F59-9C4C-86C5-D82A5D46B702}"/>
            </c:ext>
          </c:extLst>
        </c:ser>
        <c:ser>
          <c:idx val="3"/>
          <c:order val="3"/>
          <c:tx>
            <c:v>De acuerdo</c:v>
          </c:tx>
          <c:spPr>
            <a:solidFill>
              <a:srgbClr val="102D69"/>
            </a:solidFill>
            <a:ln>
              <a:solidFill>
                <a:srgbClr val="102D69"/>
              </a:solidFill>
              <a:prstDash val="solid"/>
            </a:ln>
          </c:spPr>
          <c:invertIfNegative val="1"/>
          <c:cat>
            <c:strRef>
              <c:f>'P13'!$D$2</c:f>
            </c:strRef>
          </c:cat>
          <c:val>
            <c:numRef>
              <c:f>'P13'!$B$5</c:f>
              <c:numCache>
                <c:formatCode>General</c:formatCode>
                <c:ptCount val="1"/>
                <c:pt idx="0">
                  <c:v>12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2F59-9C4C-86C5-D82A5D46B702}"/>
            </c:ext>
          </c:extLst>
        </c:ser>
        <c:ser>
          <c:idx val="4"/>
          <c:order val="4"/>
          <c:tx>
            <c:v>Totalmente de acuerdo</c:v>
          </c:tx>
          <c:spPr>
            <a:solidFill>
              <a:srgbClr val="00A0B7"/>
            </a:solidFill>
            <a:ln>
              <a:solidFill>
                <a:srgbClr val="00A0B7"/>
              </a:solidFill>
              <a:prstDash val="solid"/>
            </a:ln>
          </c:spPr>
          <c:invertIfNegative val="1"/>
          <c:cat>
            <c:strRef>
              <c:f>'P13'!$D$2</c:f>
            </c:strRef>
          </c:cat>
          <c:val>
            <c:numRef>
              <c:f>'P13'!$B$4</c:f>
              <c:numCache>
                <c:formatCode>General</c:formatCode>
                <c:ptCount val="1"/>
                <c:pt idx="0">
                  <c:v>12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0A0B7"/>
                    </a:solidFill>
                    <a:prstDash val="solid"/>
                  </a:ln>
                </c14:spPr>
              </c14:invertSolidFillFmt>
            </c:ext>
            <c:ext xmlns:c16="http://schemas.microsoft.com/office/drawing/2014/chart" uri="{C3380CC4-5D6E-409C-BE32-E72D297353CC}">
              <c16:uniqueId val="{00000004-2F59-9C4C-86C5-D82A5D46B702}"/>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Poco de acuerdo</c:v>
          </c:tx>
          <c:spPr>
            <a:solidFill>
              <a:srgbClr val="661081"/>
            </a:solidFill>
            <a:ln>
              <a:solidFill>
                <a:srgbClr val="661081"/>
              </a:solidFill>
              <a:prstDash val="solid"/>
            </a:ln>
          </c:spPr>
          <c:invertIfNegative val="1"/>
          <c:cat>
            <c:strRef>
              <c:f>'P14'!$D$2</c:f>
            </c:strRef>
          </c:cat>
          <c:val>
            <c:numRef>
              <c:f>'P14'!$B$6</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132C-B345-8F02-71097E1FDEF6}"/>
            </c:ext>
          </c:extLst>
        </c:ser>
        <c:ser>
          <c:idx val="1"/>
          <c:order val="1"/>
          <c:tx>
            <c:v>De acuerdo</c:v>
          </c:tx>
          <c:spPr>
            <a:solidFill>
              <a:srgbClr val="910581"/>
            </a:solidFill>
            <a:ln>
              <a:solidFill>
                <a:srgbClr val="910581"/>
              </a:solidFill>
              <a:prstDash val="solid"/>
            </a:ln>
          </c:spPr>
          <c:invertIfNegative val="1"/>
          <c:cat>
            <c:strRef>
              <c:f>'P14'!$D$2</c:f>
            </c:strRef>
          </c:cat>
          <c:val>
            <c:numRef>
              <c:f>'P14'!$B$5</c:f>
              <c:numCache>
                <c:formatCode>General</c:formatCode>
                <c:ptCount val="1"/>
                <c:pt idx="0">
                  <c:v>5</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132C-B345-8F02-71097E1FDEF6}"/>
            </c:ext>
          </c:extLst>
        </c:ser>
        <c:ser>
          <c:idx val="2"/>
          <c:order val="2"/>
          <c:tx>
            <c:v>Totalmente de acuerdo</c:v>
          </c:tx>
          <c:spPr>
            <a:solidFill>
              <a:srgbClr val="9C095D"/>
            </a:solidFill>
            <a:ln>
              <a:solidFill>
                <a:srgbClr val="9C095D"/>
              </a:solidFill>
              <a:prstDash val="solid"/>
            </a:ln>
          </c:spPr>
          <c:invertIfNegative val="1"/>
          <c:cat>
            <c:strRef>
              <c:f>'P14'!$D$2</c:f>
            </c:strRef>
          </c:cat>
          <c:val>
            <c:numRef>
              <c:f>'P14'!$B$4</c:f>
              <c:numCache>
                <c:formatCode>General</c:formatCode>
                <c:ptCount val="1"/>
                <c:pt idx="0">
                  <c:v>26</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132C-B345-8F02-71097E1FDEF6}"/>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De acuerdo</c:v>
          </c:tx>
          <c:spPr>
            <a:solidFill>
              <a:srgbClr val="661081"/>
            </a:solidFill>
            <a:ln>
              <a:solidFill>
                <a:srgbClr val="661081"/>
              </a:solidFill>
              <a:prstDash val="solid"/>
            </a:ln>
          </c:spPr>
          <c:invertIfNegative val="1"/>
          <c:cat>
            <c:strRef>
              <c:f>'P15'!$D$2</c:f>
            </c:strRef>
          </c:cat>
          <c:val>
            <c:numRef>
              <c:f>'P15'!$B$5</c:f>
              <c:numCache>
                <c:formatCode>General</c:formatCode>
                <c:ptCount val="1"/>
                <c:pt idx="0">
                  <c:v>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8814-3241-8D7F-8557B40F37AA}"/>
            </c:ext>
          </c:extLst>
        </c:ser>
        <c:ser>
          <c:idx val="1"/>
          <c:order val="1"/>
          <c:tx>
            <c:v>Totalmente de acuerdo</c:v>
          </c:tx>
          <c:spPr>
            <a:solidFill>
              <a:srgbClr val="910581"/>
            </a:solidFill>
            <a:ln>
              <a:solidFill>
                <a:srgbClr val="910581"/>
              </a:solidFill>
              <a:prstDash val="solid"/>
            </a:ln>
          </c:spPr>
          <c:invertIfNegative val="1"/>
          <c:cat>
            <c:strRef>
              <c:f>'P15'!$D$2</c:f>
            </c:strRef>
          </c:cat>
          <c:val>
            <c:numRef>
              <c:f>'P15'!$B$4</c:f>
              <c:numCache>
                <c:formatCode>General</c:formatCode>
                <c:ptCount val="1"/>
                <c:pt idx="0">
                  <c:v>25</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8814-3241-8D7F-8557B40F37AA}"/>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Ni de acuerdo ni en desacuerdo</c:v>
          </c:tx>
          <c:spPr>
            <a:solidFill>
              <a:srgbClr val="661081"/>
            </a:solidFill>
            <a:ln>
              <a:solidFill>
                <a:srgbClr val="661081"/>
              </a:solidFill>
              <a:prstDash val="solid"/>
            </a:ln>
          </c:spPr>
          <c:invertIfNegative val="1"/>
          <c:cat>
            <c:strRef>
              <c:f>'P17'!$D$2</c:f>
            </c:strRef>
          </c:cat>
          <c:val>
            <c:numRef>
              <c:f>'P17'!$B$7</c:f>
              <c:numCache>
                <c:formatCode>General</c:formatCode>
                <c:ptCount val="1"/>
                <c:pt idx="0">
                  <c:v>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E034-5D4A-B3C8-DBAAFFBB886D}"/>
            </c:ext>
          </c:extLst>
        </c:ser>
        <c:ser>
          <c:idx val="1"/>
          <c:order val="1"/>
          <c:tx>
            <c:v>Poco de acuerdo</c:v>
          </c:tx>
          <c:spPr>
            <a:solidFill>
              <a:srgbClr val="910581"/>
            </a:solidFill>
            <a:ln>
              <a:solidFill>
                <a:srgbClr val="910581"/>
              </a:solidFill>
              <a:prstDash val="solid"/>
            </a:ln>
          </c:spPr>
          <c:invertIfNegative val="1"/>
          <c:cat>
            <c:strRef>
              <c:f>'P17'!$D$2</c:f>
            </c:strRef>
          </c:cat>
          <c:val>
            <c:numRef>
              <c:f>'P17'!$B$6</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E034-5D4A-B3C8-DBAAFFBB886D}"/>
            </c:ext>
          </c:extLst>
        </c:ser>
        <c:ser>
          <c:idx val="2"/>
          <c:order val="2"/>
          <c:tx>
            <c:v>De acuerdo</c:v>
          </c:tx>
          <c:spPr>
            <a:solidFill>
              <a:srgbClr val="9C095D"/>
            </a:solidFill>
            <a:ln>
              <a:solidFill>
                <a:srgbClr val="9C095D"/>
              </a:solidFill>
              <a:prstDash val="solid"/>
            </a:ln>
          </c:spPr>
          <c:invertIfNegative val="1"/>
          <c:cat>
            <c:strRef>
              <c:f>'P17'!$D$2</c:f>
            </c:strRef>
          </c:cat>
          <c:val>
            <c:numRef>
              <c:f>'P17'!$B$5</c:f>
              <c:numCache>
                <c:formatCode>General</c:formatCode>
                <c:ptCount val="1"/>
                <c:pt idx="0">
                  <c:v>16</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E034-5D4A-B3C8-DBAAFFBB886D}"/>
            </c:ext>
          </c:extLst>
        </c:ser>
        <c:ser>
          <c:idx val="3"/>
          <c:order val="3"/>
          <c:tx>
            <c:v>Totalmente de acuerdo</c:v>
          </c:tx>
          <c:spPr>
            <a:solidFill>
              <a:srgbClr val="102D69"/>
            </a:solidFill>
            <a:ln>
              <a:solidFill>
                <a:srgbClr val="102D69"/>
              </a:solidFill>
              <a:prstDash val="solid"/>
            </a:ln>
          </c:spPr>
          <c:invertIfNegative val="1"/>
          <c:cat>
            <c:strRef>
              <c:f>'P17'!$D$2</c:f>
            </c:strRef>
          </c:cat>
          <c:val>
            <c:numRef>
              <c:f>'P17'!$B$4</c:f>
              <c:numCache>
                <c:formatCode>General</c:formatCode>
                <c:ptCount val="1"/>
                <c:pt idx="0">
                  <c:v>11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E034-5D4A-B3C8-DBAAFFBB886D}"/>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No sabe o No responde</c:v>
          </c:tx>
          <c:spPr>
            <a:solidFill>
              <a:srgbClr val="661081"/>
            </a:solidFill>
            <a:ln>
              <a:solidFill>
                <a:srgbClr val="661081"/>
              </a:solidFill>
              <a:prstDash val="solid"/>
            </a:ln>
          </c:spPr>
          <c:invertIfNegative val="1"/>
          <c:cat>
            <c:strRef>
              <c:f>'P18'!$D$2</c:f>
            </c:strRef>
          </c:cat>
          <c:val>
            <c:numRef>
              <c:f>'P18'!$B$7</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2556-C548-97A7-9A656FA89106}"/>
            </c:ext>
          </c:extLst>
        </c:ser>
        <c:ser>
          <c:idx val="1"/>
          <c:order val="1"/>
          <c:tx>
            <c:v>Ni de acuerdo ni en desacuerdo</c:v>
          </c:tx>
          <c:spPr>
            <a:solidFill>
              <a:srgbClr val="910581"/>
            </a:solidFill>
            <a:ln>
              <a:solidFill>
                <a:srgbClr val="910581"/>
              </a:solidFill>
              <a:prstDash val="solid"/>
            </a:ln>
          </c:spPr>
          <c:invertIfNegative val="1"/>
          <c:cat>
            <c:strRef>
              <c:f>'P18'!$D$2</c:f>
            </c:strRef>
          </c:cat>
          <c:val>
            <c:numRef>
              <c:f>'P18'!$B$6</c:f>
              <c:numCache>
                <c:formatCode>General</c:formatCode>
                <c:ptCount val="1"/>
                <c:pt idx="0">
                  <c:v>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2556-C548-97A7-9A656FA89106}"/>
            </c:ext>
          </c:extLst>
        </c:ser>
        <c:ser>
          <c:idx val="2"/>
          <c:order val="2"/>
          <c:tx>
            <c:v>De acuerdo</c:v>
          </c:tx>
          <c:spPr>
            <a:solidFill>
              <a:srgbClr val="9C095D"/>
            </a:solidFill>
            <a:ln>
              <a:solidFill>
                <a:srgbClr val="9C095D"/>
              </a:solidFill>
              <a:prstDash val="solid"/>
            </a:ln>
          </c:spPr>
          <c:invertIfNegative val="1"/>
          <c:cat>
            <c:strRef>
              <c:f>'P18'!$D$2</c:f>
            </c:strRef>
          </c:cat>
          <c:val>
            <c:numRef>
              <c:f>'P18'!$B$5</c:f>
              <c:numCache>
                <c:formatCode>General</c:formatCode>
                <c:ptCount val="1"/>
                <c:pt idx="0">
                  <c:v>16</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2556-C548-97A7-9A656FA89106}"/>
            </c:ext>
          </c:extLst>
        </c:ser>
        <c:ser>
          <c:idx val="3"/>
          <c:order val="3"/>
          <c:tx>
            <c:v>Totalmente de acuerdo</c:v>
          </c:tx>
          <c:spPr>
            <a:solidFill>
              <a:srgbClr val="102D69"/>
            </a:solidFill>
            <a:ln>
              <a:solidFill>
                <a:srgbClr val="102D69"/>
              </a:solidFill>
              <a:prstDash val="solid"/>
            </a:ln>
          </c:spPr>
          <c:invertIfNegative val="1"/>
          <c:cat>
            <c:strRef>
              <c:f>'P18'!$D$2</c:f>
            </c:strRef>
          </c:cat>
          <c:val>
            <c:numRef>
              <c:f>'P18'!$B$4</c:f>
              <c:numCache>
                <c:formatCode>General</c:formatCode>
                <c:ptCount val="1"/>
                <c:pt idx="0">
                  <c:v>10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2556-C548-97A7-9A656FA89106}"/>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No sabe o No responde</c:v>
          </c:tx>
          <c:spPr>
            <a:solidFill>
              <a:srgbClr val="661081"/>
            </a:solidFill>
            <a:ln>
              <a:solidFill>
                <a:srgbClr val="661081"/>
              </a:solidFill>
              <a:prstDash val="solid"/>
            </a:ln>
          </c:spPr>
          <c:invertIfNegative val="1"/>
          <c:cat>
            <c:strRef>
              <c:f>'P19'!$D$2</c:f>
            </c:strRef>
          </c:cat>
          <c:val>
            <c:numRef>
              <c:f>'P19'!$B$7</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F23E-D740-B11C-66F7E32838F1}"/>
            </c:ext>
          </c:extLst>
        </c:ser>
        <c:ser>
          <c:idx val="1"/>
          <c:order val="1"/>
          <c:tx>
            <c:v>Ni de acuerdo ni en desacuerdo</c:v>
          </c:tx>
          <c:spPr>
            <a:solidFill>
              <a:srgbClr val="910581"/>
            </a:solidFill>
            <a:ln>
              <a:solidFill>
                <a:srgbClr val="910581"/>
              </a:solidFill>
              <a:prstDash val="solid"/>
            </a:ln>
          </c:spPr>
          <c:invertIfNegative val="1"/>
          <c:cat>
            <c:strRef>
              <c:f>'P19'!$D$2</c:f>
            </c:strRef>
          </c:cat>
          <c:val>
            <c:numRef>
              <c:f>'P19'!$B$6</c:f>
              <c:numCache>
                <c:formatCode>General</c:formatCode>
                <c:ptCount val="1"/>
                <c:pt idx="0">
                  <c:v>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F23E-D740-B11C-66F7E32838F1}"/>
            </c:ext>
          </c:extLst>
        </c:ser>
        <c:ser>
          <c:idx val="2"/>
          <c:order val="2"/>
          <c:tx>
            <c:v>De acuerdo</c:v>
          </c:tx>
          <c:spPr>
            <a:solidFill>
              <a:srgbClr val="9C095D"/>
            </a:solidFill>
            <a:ln>
              <a:solidFill>
                <a:srgbClr val="9C095D"/>
              </a:solidFill>
              <a:prstDash val="solid"/>
            </a:ln>
          </c:spPr>
          <c:invertIfNegative val="1"/>
          <c:cat>
            <c:strRef>
              <c:f>'P19'!$D$2</c:f>
            </c:strRef>
          </c:cat>
          <c:val>
            <c:numRef>
              <c:f>'P19'!$B$5</c:f>
              <c:numCache>
                <c:formatCode>General</c:formatCode>
                <c:ptCount val="1"/>
                <c:pt idx="0">
                  <c:v>13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F23E-D740-B11C-66F7E32838F1}"/>
            </c:ext>
          </c:extLst>
        </c:ser>
        <c:ser>
          <c:idx val="3"/>
          <c:order val="3"/>
          <c:tx>
            <c:v>Totalmente de acuerdo</c:v>
          </c:tx>
          <c:spPr>
            <a:solidFill>
              <a:srgbClr val="102D69"/>
            </a:solidFill>
            <a:ln>
              <a:solidFill>
                <a:srgbClr val="102D69"/>
              </a:solidFill>
              <a:prstDash val="solid"/>
            </a:ln>
          </c:spPr>
          <c:invertIfNegative val="1"/>
          <c:cat>
            <c:strRef>
              <c:f>'P19'!$D$2</c:f>
            </c:strRef>
          </c:cat>
          <c:val>
            <c:numRef>
              <c:f>'P19'!$B$4</c:f>
              <c:numCache>
                <c:formatCode>General</c:formatCode>
                <c:ptCount val="1"/>
                <c:pt idx="0">
                  <c:v>11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F23E-D740-B11C-66F7E32838F1}"/>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No sabe o No responde</c:v>
          </c:tx>
          <c:spPr>
            <a:solidFill>
              <a:srgbClr val="661081"/>
            </a:solidFill>
            <a:ln>
              <a:solidFill>
                <a:srgbClr val="661081"/>
              </a:solidFill>
              <a:prstDash val="solid"/>
            </a:ln>
          </c:spPr>
          <c:invertIfNegative val="1"/>
          <c:cat>
            <c:strRef>
              <c:f>'P20'!$D$2</c:f>
            </c:strRef>
          </c:cat>
          <c:val>
            <c:numRef>
              <c:f>'P20'!$B$8</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390E-864C-810C-DA8DD10390FB}"/>
            </c:ext>
          </c:extLst>
        </c:ser>
        <c:ser>
          <c:idx val="1"/>
          <c:order val="1"/>
          <c:tx>
            <c:v>Ni de acuerdo ni en desacuerdo</c:v>
          </c:tx>
          <c:spPr>
            <a:solidFill>
              <a:srgbClr val="910581"/>
            </a:solidFill>
            <a:ln>
              <a:solidFill>
                <a:srgbClr val="910581"/>
              </a:solidFill>
              <a:prstDash val="solid"/>
            </a:ln>
          </c:spPr>
          <c:invertIfNegative val="1"/>
          <c:cat>
            <c:strRef>
              <c:f>'P20'!$D$2</c:f>
            </c:strRef>
          </c:cat>
          <c:val>
            <c:numRef>
              <c:f>'P20'!$B$7</c:f>
              <c:numCache>
                <c:formatCode>General</c:formatCode>
                <c:ptCount val="1"/>
                <c:pt idx="0">
                  <c:v>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390E-864C-810C-DA8DD10390FB}"/>
            </c:ext>
          </c:extLst>
        </c:ser>
        <c:ser>
          <c:idx val="2"/>
          <c:order val="2"/>
          <c:tx>
            <c:v>Poco de acuerdo</c:v>
          </c:tx>
          <c:spPr>
            <a:solidFill>
              <a:srgbClr val="9C095D"/>
            </a:solidFill>
            <a:ln>
              <a:solidFill>
                <a:srgbClr val="9C095D"/>
              </a:solidFill>
              <a:prstDash val="solid"/>
            </a:ln>
          </c:spPr>
          <c:invertIfNegative val="1"/>
          <c:cat>
            <c:strRef>
              <c:f>'P20'!$D$2</c:f>
            </c:strRef>
          </c:cat>
          <c:val>
            <c:numRef>
              <c:f>'P20'!$B$6</c:f>
              <c:numCache>
                <c:formatCode>General</c:formatCode>
                <c:ptCount val="1"/>
                <c:pt idx="0">
                  <c:v>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390E-864C-810C-DA8DD10390FB}"/>
            </c:ext>
          </c:extLst>
        </c:ser>
        <c:ser>
          <c:idx val="3"/>
          <c:order val="3"/>
          <c:tx>
            <c:v>De acuerdo</c:v>
          </c:tx>
          <c:spPr>
            <a:solidFill>
              <a:srgbClr val="102D69"/>
            </a:solidFill>
            <a:ln>
              <a:solidFill>
                <a:srgbClr val="102D69"/>
              </a:solidFill>
              <a:prstDash val="solid"/>
            </a:ln>
          </c:spPr>
          <c:invertIfNegative val="1"/>
          <c:cat>
            <c:strRef>
              <c:f>'P20'!$D$2</c:f>
            </c:strRef>
          </c:cat>
          <c:val>
            <c:numRef>
              <c:f>'P20'!$B$5</c:f>
              <c:numCache>
                <c:formatCode>General</c:formatCode>
                <c:ptCount val="1"/>
                <c:pt idx="0">
                  <c:v>17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390E-864C-810C-DA8DD10390FB}"/>
            </c:ext>
          </c:extLst>
        </c:ser>
        <c:ser>
          <c:idx val="4"/>
          <c:order val="4"/>
          <c:tx>
            <c:v>Totalmente de acuerdo</c:v>
          </c:tx>
          <c:spPr>
            <a:solidFill>
              <a:srgbClr val="00A0B7"/>
            </a:solidFill>
            <a:ln>
              <a:solidFill>
                <a:srgbClr val="00A0B7"/>
              </a:solidFill>
              <a:prstDash val="solid"/>
            </a:ln>
          </c:spPr>
          <c:invertIfNegative val="1"/>
          <c:cat>
            <c:strRef>
              <c:f>'P20'!$D$2</c:f>
            </c:strRef>
          </c:cat>
          <c:val>
            <c:numRef>
              <c:f>'P20'!$B$4</c:f>
              <c:numCache>
                <c:formatCode>General</c:formatCode>
                <c:ptCount val="1"/>
                <c:pt idx="0">
                  <c:v>8</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0A0B7"/>
                    </a:solidFill>
                    <a:prstDash val="solid"/>
                  </a:ln>
                </c14:spPr>
              </c14:invertSolidFillFmt>
            </c:ext>
            <c:ext xmlns:c16="http://schemas.microsoft.com/office/drawing/2014/chart" uri="{C3380CC4-5D6E-409C-BE32-E72D297353CC}">
              <c16:uniqueId val="{00000004-390E-864C-810C-DA8DD10390FB}"/>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No sabe o No responde</c:v>
          </c:tx>
          <c:spPr>
            <a:solidFill>
              <a:srgbClr val="661081"/>
            </a:solidFill>
            <a:ln>
              <a:solidFill>
                <a:srgbClr val="661081"/>
              </a:solidFill>
              <a:prstDash val="solid"/>
            </a:ln>
          </c:spPr>
          <c:invertIfNegative val="1"/>
          <c:cat>
            <c:strRef>
              <c:f>'P21'!$D$2</c:f>
            </c:strRef>
          </c:cat>
          <c:val>
            <c:numRef>
              <c:f>'P21'!$B$8</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9432-454F-8D66-99529263359D}"/>
            </c:ext>
          </c:extLst>
        </c:ser>
        <c:ser>
          <c:idx val="1"/>
          <c:order val="1"/>
          <c:tx>
            <c:v>Ni de acuerdo ni en desacuerdo</c:v>
          </c:tx>
          <c:spPr>
            <a:solidFill>
              <a:srgbClr val="910581"/>
            </a:solidFill>
            <a:ln>
              <a:solidFill>
                <a:srgbClr val="910581"/>
              </a:solidFill>
              <a:prstDash val="solid"/>
            </a:ln>
          </c:spPr>
          <c:invertIfNegative val="1"/>
          <c:cat>
            <c:strRef>
              <c:f>'P21'!$D$2</c:f>
            </c:strRef>
          </c:cat>
          <c:val>
            <c:numRef>
              <c:f>'P21'!$B$7</c:f>
              <c:numCache>
                <c:formatCode>General</c:formatCode>
                <c:ptCount val="1"/>
                <c:pt idx="0">
                  <c:v>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9432-454F-8D66-99529263359D}"/>
            </c:ext>
          </c:extLst>
        </c:ser>
        <c:ser>
          <c:idx val="2"/>
          <c:order val="2"/>
          <c:tx>
            <c:v>Poco de acuerdo</c:v>
          </c:tx>
          <c:spPr>
            <a:solidFill>
              <a:srgbClr val="9C095D"/>
            </a:solidFill>
            <a:ln>
              <a:solidFill>
                <a:srgbClr val="9C095D"/>
              </a:solidFill>
              <a:prstDash val="solid"/>
            </a:ln>
          </c:spPr>
          <c:invertIfNegative val="1"/>
          <c:cat>
            <c:strRef>
              <c:f>'P21'!$D$2</c:f>
            </c:strRef>
          </c:cat>
          <c:val>
            <c:numRef>
              <c:f>'P21'!$B$6</c:f>
              <c:numCache>
                <c:formatCode>General</c:formatCode>
                <c:ptCount val="1"/>
                <c:pt idx="0">
                  <c:v>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9432-454F-8D66-99529263359D}"/>
            </c:ext>
          </c:extLst>
        </c:ser>
        <c:ser>
          <c:idx val="3"/>
          <c:order val="3"/>
          <c:tx>
            <c:v>De acuerdo</c:v>
          </c:tx>
          <c:spPr>
            <a:solidFill>
              <a:srgbClr val="102D69"/>
            </a:solidFill>
            <a:ln>
              <a:solidFill>
                <a:srgbClr val="102D69"/>
              </a:solidFill>
              <a:prstDash val="solid"/>
            </a:ln>
          </c:spPr>
          <c:invertIfNegative val="1"/>
          <c:cat>
            <c:strRef>
              <c:f>'P21'!$D$2</c:f>
            </c:strRef>
          </c:cat>
          <c:val>
            <c:numRef>
              <c:f>'P21'!$B$5</c:f>
              <c:numCache>
                <c:formatCode>General</c:formatCode>
                <c:ptCount val="1"/>
                <c:pt idx="0">
                  <c:v>10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9432-454F-8D66-99529263359D}"/>
            </c:ext>
          </c:extLst>
        </c:ser>
        <c:ser>
          <c:idx val="4"/>
          <c:order val="4"/>
          <c:tx>
            <c:v>Totalmente de acuerdo</c:v>
          </c:tx>
          <c:spPr>
            <a:solidFill>
              <a:srgbClr val="00A0B7"/>
            </a:solidFill>
            <a:ln>
              <a:solidFill>
                <a:srgbClr val="00A0B7"/>
              </a:solidFill>
              <a:prstDash val="solid"/>
            </a:ln>
          </c:spPr>
          <c:invertIfNegative val="1"/>
          <c:cat>
            <c:strRef>
              <c:f>'P21'!$D$2</c:f>
            </c:strRef>
          </c:cat>
          <c:val>
            <c:numRef>
              <c:f>'P21'!$B$4</c:f>
              <c:numCache>
                <c:formatCode>General</c:formatCode>
                <c:ptCount val="1"/>
                <c:pt idx="0">
                  <c:v>13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0A0B7"/>
                    </a:solidFill>
                    <a:prstDash val="solid"/>
                  </a:ln>
                </c14:spPr>
              </c14:invertSolidFillFmt>
            </c:ext>
            <c:ext xmlns:c16="http://schemas.microsoft.com/office/drawing/2014/chart" uri="{C3380CC4-5D6E-409C-BE32-E72D297353CC}">
              <c16:uniqueId val="{00000004-9432-454F-8D66-99529263359D}"/>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No sabe o No responde</c:v>
          </c:tx>
          <c:spPr>
            <a:solidFill>
              <a:srgbClr val="661081"/>
            </a:solidFill>
            <a:ln>
              <a:solidFill>
                <a:srgbClr val="661081"/>
              </a:solidFill>
              <a:prstDash val="solid"/>
            </a:ln>
          </c:spPr>
          <c:invertIfNegative val="1"/>
          <c:cat>
            <c:strRef>
              <c:f>'P22'!$D$2</c:f>
            </c:strRef>
          </c:cat>
          <c:val>
            <c:numRef>
              <c:f>'P22'!$B$8</c:f>
              <c:numCache>
                <c:formatCode>General</c:formatCode>
                <c:ptCount val="1"/>
                <c:pt idx="0">
                  <c:v>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3323-2B4D-B316-BC1CA9919953}"/>
            </c:ext>
          </c:extLst>
        </c:ser>
        <c:ser>
          <c:idx val="1"/>
          <c:order val="1"/>
          <c:tx>
            <c:v>Ni de acuerdo ni en desacuerdo</c:v>
          </c:tx>
          <c:spPr>
            <a:solidFill>
              <a:srgbClr val="910581"/>
            </a:solidFill>
            <a:ln>
              <a:solidFill>
                <a:srgbClr val="910581"/>
              </a:solidFill>
              <a:prstDash val="solid"/>
            </a:ln>
          </c:spPr>
          <c:invertIfNegative val="1"/>
          <c:cat>
            <c:strRef>
              <c:f>'P22'!$D$2</c:f>
            </c:strRef>
          </c:cat>
          <c:val>
            <c:numRef>
              <c:f>'P22'!$B$7</c:f>
              <c:numCache>
                <c:formatCode>General</c:formatCode>
                <c:ptCount val="1"/>
                <c:pt idx="0">
                  <c:v>5</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3323-2B4D-B316-BC1CA9919953}"/>
            </c:ext>
          </c:extLst>
        </c:ser>
        <c:ser>
          <c:idx val="2"/>
          <c:order val="2"/>
          <c:tx>
            <c:v>Poco de acuerdo</c:v>
          </c:tx>
          <c:spPr>
            <a:solidFill>
              <a:srgbClr val="9C095D"/>
            </a:solidFill>
            <a:ln>
              <a:solidFill>
                <a:srgbClr val="9C095D"/>
              </a:solidFill>
              <a:prstDash val="solid"/>
            </a:ln>
          </c:spPr>
          <c:invertIfNegative val="1"/>
          <c:cat>
            <c:strRef>
              <c:f>'P22'!$D$2</c:f>
            </c:strRef>
          </c:cat>
          <c:val>
            <c:numRef>
              <c:f>'P22'!$B$6</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3323-2B4D-B316-BC1CA9919953}"/>
            </c:ext>
          </c:extLst>
        </c:ser>
        <c:ser>
          <c:idx val="3"/>
          <c:order val="3"/>
          <c:tx>
            <c:v>De acuerdo</c:v>
          </c:tx>
          <c:spPr>
            <a:solidFill>
              <a:srgbClr val="102D69"/>
            </a:solidFill>
            <a:ln>
              <a:solidFill>
                <a:srgbClr val="102D69"/>
              </a:solidFill>
              <a:prstDash val="solid"/>
            </a:ln>
          </c:spPr>
          <c:invertIfNegative val="1"/>
          <c:cat>
            <c:strRef>
              <c:f>'P22'!$D$2</c:f>
            </c:strRef>
          </c:cat>
          <c:val>
            <c:numRef>
              <c:f>'P22'!$B$5</c:f>
              <c:numCache>
                <c:formatCode>General</c:formatCode>
                <c:ptCount val="1"/>
                <c:pt idx="0">
                  <c:v>13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3323-2B4D-B316-BC1CA9919953}"/>
            </c:ext>
          </c:extLst>
        </c:ser>
        <c:ser>
          <c:idx val="4"/>
          <c:order val="4"/>
          <c:tx>
            <c:v>Totalmente de acuerdo</c:v>
          </c:tx>
          <c:spPr>
            <a:solidFill>
              <a:srgbClr val="00A0B7"/>
            </a:solidFill>
            <a:ln>
              <a:solidFill>
                <a:srgbClr val="00A0B7"/>
              </a:solidFill>
              <a:prstDash val="solid"/>
            </a:ln>
          </c:spPr>
          <c:invertIfNegative val="1"/>
          <c:cat>
            <c:strRef>
              <c:f>'P22'!$D$2</c:f>
            </c:strRef>
          </c:cat>
          <c:val>
            <c:numRef>
              <c:f>'P22'!$B$4</c:f>
              <c:numCache>
                <c:formatCode>General</c:formatCode>
                <c:ptCount val="1"/>
                <c:pt idx="0">
                  <c:v>9</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0A0B7"/>
                    </a:solidFill>
                    <a:prstDash val="solid"/>
                  </a:ln>
                </c14:spPr>
              </c14:invertSolidFillFmt>
            </c:ext>
            <c:ext xmlns:c16="http://schemas.microsoft.com/office/drawing/2014/chart" uri="{C3380CC4-5D6E-409C-BE32-E72D297353CC}">
              <c16:uniqueId val="{00000004-3323-2B4D-B316-BC1CA9919953}"/>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No sabe o No responde</c:v>
          </c:tx>
          <c:spPr>
            <a:solidFill>
              <a:srgbClr val="661081"/>
            </a:solidFill>
            <a:ln>
              <a:solidFill>
                <a:srgbClr val="661081"/>
              </a:solidFill>
              <a:prstDash val="solid"/>
            </a:ln>
          </c:spPr>
          <c:invertIfNegative val="1"/>
          <c:cat>
            <c:strRef>
              <c:f>'P23'!$D$2</c:f>
            </c:strRef>
          </c:cat>
          <c:val>
            <c:numRef>
              <c:f>'P23'!$B$8</c:f>
              <c:numCache>
                <c:formatCode>General</c:formatCode>
                <c:ptCount val="1"/>
                <c:pt idx="0">
                  <c:v>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EC73-9741-8797-DE6B8F12A774}"/>
            </c:ext>
          </c:extLst>
        </c:ser>
        <c:ser>
          <c:idx val="1"/>
          <c:order val="1"/>
          <c:tx>
            <c:v>Ni de acuerdo ni en desacuerdo</c:v>
          </c:tx>
          <c:spPr>
            <a:solidFill>
              <a:srgbClr val="910581"/>
            </a:solidFill>
            <a:ln>
              <a:solidFill>
                <a:srgbClr val="910581"/>
              </a:solidFill>
              <a:prstDash val="solid"/>
            </a:ln>
          </c:spPr>
          <c:invertIfNegative val="1"/>
          <c:cat>
            <c:strRef>
              <c:f>'P23'!$D$2</c:f>
            </c:strRef>
          </c:cat>
          <c:val>
            <c:numRef>
              <c:f>'P23'!$B$7</c:f>
              <c:numCache>
                <c:formatCode>General</c:formatCode>
                <c:ptCount val="1"/>
                <c:pt idx="0">
                  <c:v>9</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EC73-9741-8797-DE6B8F12A774}"/>
            </c:ext>
          </c:extLst>
        </c:ser>
        <c:ser>
          <c:idx val="2"/>
          <c:order val="2"/>
          <c:tx>
            <c:v>Poco de acuerdo</c:v>
          </c:tx>
          <c:spPr>
            <a:solidFill>
              <a:srgbClr val="9C095D"/>
            </a:solidFill>
            <a:ln>
              <a:solidFill>
                <a:srgbClr val="9C095D"/>
              </a:solidFill>
              <a:prstDash val="solid"/>
            </a:ln>
          </c:spPr>
          <c:invertIfNegative val="1"/>
          <c:cat>
            <c:strRef>
              <c:f>'P23'!$D$2</c:f>
            </c:strRef>
          </c:cat>
          <c:val>
            <c:numRef>
              <c:f>'P23'!$B$6</c:f>
              <c:numCache>
                <c:formatCode>General</c:formatCode>
                <c:ptCount val="1"/>
                <c:pt idx="0">
                  <c:v>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EC73-9741-8797-DE6B8F12A774}"/>
            </c:ext>
          </c:extLst>
        </c:ser>
        <c:ser>
          <c:idx val="3"/>
          <c:order val="3"/>
          <c:tx>
            <c:v>De acuerdo</c:v>
          </c:tx>
          <c:spPr>
            <a:solidFill>
              <a:srgbClr val="102D69"/>
            </a:solidFill>
            <a:ln>
              <a:solidFill>
                <a:srgbClr val="102D69"/>
              </a:solidFill>
              <a:prstDash val="solid"/>
            </a:ln>
          </c:spPr>
          <c:invertIfNegative val="1"/>
          <c:cat>
            <c:strRef>
              <c:f>'P23'!$D$2</c:f>
            </c:strRef>
          </c:cat>
          <c:val>
            <c:numRef>
              <c:f>'P23'!$B$5</c:f>
              <c:numCache>
                <c:formatCode>General</c:formatCode>
                <c:ptCount val="1"/>
                <c:pt idx="0">
                  <c:v>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EC73-9741-8797-DE6B8F12A774}"/>
            </c:ext>
          </c:extLst>
        </c:ser>
        <c:ser>
          <c:idx val="4"/>
          <c:order val="4"/>
          <c:tx>
            <c:v>Totalmente de acuerdo</c:v>
          </c:tx>
          <c:spPr>
            <a:solidFill>
              <a:srgbClr val="00A0B7"/>
            </a:solidFill>
            <a:ln>
              <a:solidFill>
                <a:srgbClr val="00A0B7"/>
              </a:solidFill>
              <a:prstDash val="solid"/>
            </a:ln>
          </c:spPr>
          <c:invertIfNegative val="1"/>
          <c:cat>
            <c:strRef>
              <c:f>'P23'!$D$2</c:f>
            </c:strRef>
          </c:cat>
          <c:val>
            <c:numRef>
              <c:f>'P23'!$B$4</c:f>
              <c:numCache>
                <c:formatCode>General</c:formatCode>
                <c:ptCount val="1"/>
                <c:pt idx="0">
                  <c:v>10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0A0B7"/>
                    </a:solidFill>
                    <a:prstDash val="solid"/>
                  </a:ln>
                </c14:spPr>
              </c14:invertSolidFillFmt>
            </c:ext>
            <c:ext xmlns:c16="http://schemas.microsoft.com/office/drawing/2014/chart" uri="{C3380CC4-5D6E-409C-BE32-E72D297353CC}">
              <c16:uniqueId val="{00000004-EC73-9741-8797-DE6B8F12A774}"/>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No sabe o No responde</c:v>
          </c:tx>
          <c:spPr>
            <a:solidFill>
              <a:srgbClr val="661081"/>
            </a:solidFill>
            <a:ln>
              <a:solidFill>
                <a:srgbClr val="661081"/>
              </a:solidFill>
              <a:prstDash val="solid"/>
            </a:ln>
          </c:spPr>
          <c:invertIfNegative val="1"/>
          <c:cat>
            <c:strRef>
              <c:f>'P24'!$D$2</c:f>
            </c:strRef>
          </c:cat>
          <c:val>
            <c:numRef>
              <c:f>'P24'!$B$8</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F46D-6C4F-8701-DDEC34F6B61B}"/>
            </c:ext>
          </c:extLst>
        </c:ser>
        <c:ser>
          <c:idx val="1"/>
          <c:order val="1"/>
          <c:tx>
            <c:v>Ni de acuerdo ni en desacuerdo</c:v>
          </c:tx>
          <c:spPr>
            <a:solidFill>
              <a:srgbClr val="910581"/>
            </a:solidFill>
            <a:ln>
              <a:solidFill>
                <a:srgbClr val="910581"/>
              </a:solidFill>
              <a:prstDash val="solid"/>
            </a:ln>
          </c:spPr>
          <c:invertIfNegative val="1"/>
          <c:cat>
            <c:strRef>
              <c:f>'P24'!$D$2</c:f>
            </c:strRef>
          </c:cat>
          <c:val>
            <c:numRef>
              <c:f>'P24'!$B$7</c:f>
              <c:numCache>
                <c:formatCode>General</c:formatCode>
                <c:ptCount val="1"/>
                <c:pt idx="0">
                  <c:v>9</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F46D-6C4F-8701-DDEC34F6B61B}"/>
            </c:ext>
          </c:extLst>
        </c:ser>
        <c:ser>
          <c:idx val="2"/>
          <c:order val="2"/>
          <c:tx>
            <c:v>Poco de acuerdo</c:v>
          </c:tx>
          <c:spPr>
            <a:solidFill>
              <a:srgbClr val="9C095D"/>
            </a:solidFill>
            <a:ln>
              <a:solidFill>
                <a:srgbClr val="9C095D"/>
              </a:solidFill>
              <a:prstDash val="solid"/>
            </a:ln>
          </c:spPr>
          <c:invertIfNegative val="1"/>
          <c:cat>
            <c:strRef>
              <c:f>'P24'!$D$2</c:f>
            </c:strRef>
          </c:cat>
          <c:val>
            <c:numRef>
              <c:f>'P24'!$B$6</c:f>
              <c:numCache>
                <c:formatCode>General</c:formatCode>
                <c:ptCount val="1"/>
                <c:pt idx="0">
                  <c:v>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F46D-6C4F-8701-DDEC34F6B61B}"/>
            </c:ext>
          </c:extLst>
        </c:ser>
        <c:ser>
          <c:idx val="3"/>
          <c:order val="3"/>
          <c:tx>
            <c:v>De acuerdo</c:v>
          </c:tx>
          <c:spPr>
            <a:solidFill>
              <a:srgbClr val="102D69"/>
            </a:solidFill>
            <a:ln>
              <a:solidFill>
                <a:srgbClr val="102D69"/>
              </a:solidFill>
              <a:prstDash val="solid"/>
            </a:ln>
          </c:spPr>
          <c:invertIfNegative val="1"/>
          <c:cat>
            <c:strRef>
              <c:f>'P24'!$D$2</c:f>
            </c:strRef>
          </c:cat>
          <c:val>
            <c:numRef>
              <c:f>'P24'!$B$5</c:f>
              <c:numCache>
                <c:formatCode>General</c:formatCode>
                <c:ptCount val="1"/>
                <c:pt idx="0">
                  <c:v>8</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F46D-6C4F-8701-DDEC34F6B61B}"/>
            </c:ext>
          </c:extLst>
        </c:ser>
        <c:ser>
          <c:idx val="4"/>
          <c:order val="4"/>
          <c:tx>
            <c:v>Totalmente de acuerdo</c:v>
          </c:tx>
          <c:spPr>
            <a:solidFill>
              <a:srgbClr val="00A0B7"/>
            </a:solidFill>
            <a:ln>
              <a:solidFill>
                <a:srgbClr val="00A0B7"/>
              </a:solidFill>
              <a:prstDash val="solid"/>
            </a:ln>
          </c:spPr>
          <c:invertIfNegative val="1"/>
          <c:cat>
            <c:strRef>
              <c:f>'P24'!$D$2</c:f>
            </c:strRef>
          </c:cat>
          <c:val>
            <c:numRef>
              <c:f>'P24'!$B$4</c:f>
              <c:numCache>
                <c:formatCode>General</c:formatCode>
                <c:ptCount val="1"/>
                <c:pt idx="0">
                  <c:v>11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0A0B7"/>
                    </a:solidFill>
                    <a:prstDash val="solid"/>
                  </a:ln>
                </c14:spPr>
              </c14:invertSolidFillFmt>
            </c:ext>
            <c:ext xmlns:c16="http://schemas.microsoft.com/office/drawing/2014/chart" uri="{C3380CC4-5D6E-409C-BE32-E72D297353CC}">
              <c16:uniqueId val="{00000004-F46D-6C4F-8701-DDEC34F6B61B}"/>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No sabe o No responde</c:v>
          </c:tx>
          <c:spPr>
            <a:solidFill>
              <a:srgbClr val="661081"/>
            </a:solidFill>
            <a:ln>
              <a:solidFill>
                <a:srgbClr val="661081"/>
              </a:solidFill>
              <a:prstDash val="solid"/>
            </a:ln>
          </c:spPr>
          <c:invertIfNegative val="1"/>
          <c:cat>
            <c:strRef>
              <c:f>'P25'!$D$2</c:f>
            </c:strRef>
          </c:cat>
          <c:val>
            <c:numRef>
              <c:f>'P25'!$B$8</c:f>
              <c:numCache>
                <c:formatCode>General</c:formatCode>
                <c:ptCount val="1"/>
                <c:pt idx="0">
                  <c:v>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732D-0640-B0E9-4FE783881F24}"/>
            </c:ext>
          </c:extLst>
        </c:ser>
        <c:ser>
          <c:idx val="1"/>
          <c:order val="1"/>
          <c:tx>
            <c:v>Ni de acuerdo ni en desacuerdo</c:v>
          </c:tx>
          <c:spPr>
            <a:solidFill>
              <a:srgbClr val="910581"/>
            </a:solidFill>
            <a:ln>
              <a:solidFill>
                <a:srgbClr val="910581"/>
              </a:solidFill>
              <a:prstDash val="solid"/>
            </a:ln>
          </c:spPr>
          <c:invertIfNegative val="1"/>
          <c:cat>
            <c:strRef>
              <c:f>'P25'!$D$2</c:f>
            </c:strRef>
          </c:cat>
          <c:val>
            <c:numRef>
              <c:f>'P25'!$B$7</c:f>
              <c:numCache>
                <c:formatCode>General</c:formatCode>
                <c:ptCount val="1"/>
                <c:pt idx="0">
                  <c:v>8</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732D-0640-B0E9-4FE783881F24}"/>
            </c:ext>
          </c:extLst>
        </c:ser>
        <c:ser>
          <c:idx val="2"/>
          <c:order val="2"/>
          <c:tx>
            <c:v>Poco de acuerdo</c:v>
          </c:tx>
          <c:spPr>
            <a:solidFill>
              <a:srgbClr val="9C095D"/>
            </a:solidFill>
            <a:ln>
              <a:solidFill>
                <a:srgbClr val="9C095D"/>
              </a:solidFill>
              <a:prstDash val="solid"/>
            </a:ln>
          </c:spPr>
          <c:invertIfNegative val="1"/>
          <c:cat>
            <c:strRef>
              <c:f>'P25'!$D$2</c:f>
            </c:strRef>
          </c:cat>
          <c:val>
            <c:numRef>
              <c:f>'P25'!$B$6</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732D-0640-B0E9-4FE783881F24}"/>
            </c:ext>
          </c:extLst>
        </c:ser>
        <c:ser>
          <c:idx val="3"/>
          <c:order val="3"/>
          <c:tx>
            <c:v>De acuerdo</c:v>
          </c:tx>
          <c:spPr>
            <a:solidFill>
              <a:srgbClr val="102D69"/>
            </a:solidFill>
            <a:ln>
              <a:solidFill>
                <a:srgbClr val="102D69"/>
              </a:solidFill>
              <a:prstDash val="solid"/>
            </a:ln>
          </c:spPr>
          <c:invertIfNegative val="1"/>
          <c:cat>
            <c:strRef>
              <c:f>'P25'!$D$2</c:f>
            </c:strRef>
          </c:cat>
          <c:val>
            <c:numRef>
              <c:f>'P25'!$B$5</c:f>
              <c:numCache>
                <c:formatCode>General</c:formatCode>
                <c:ptCount val="1"/>
                <c:pt idx="0">
                  <c:v>10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732D-0640-B0E9-4FE783881F24}"/>
            </c:ext>
          </c:extLst>
        </c:ser>
        <c:ser>
          <c:idx val="4"/>
          <c:order val="4"/>
          <c:tx>
            <c:v>Totalmente de acuerdo</c:v>
          </c:tx>
          <c:spPr>
            <a:solidFill>
              <a:srgbClr val="00A0B7"/>
            </a:solidFill>
            <a:ln>
              <a:solidFill>
                <a:srgbClr val="00A0B7"/>
              </a:solidFill>
              <a:prstDash val="solid"/>
            </a:ln>
          </c:spPr>
          <c:invertIfNegative val="1"/>
          <c:cat>
            <c:strRef>
              <c:f>'P25'!$D$2</c:f>
            </c:strRef>
          </c:cat>
          <c:val>
            <c:numRef>
              <c:f>'P25'!$B$4</c:f>
              <c:numCache>
                <c:formatCode>General</c:formatCode>
                <c:ptCount val="1"/>
                <c:pt idx="0">
                  <c:v>8</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0A0B7"/>
                    </a:solidFill>
                    <a:prstDash val="solid"/>
                  </a:ln>
                </c14:spPr>
              </c14:invertSolidFillFmt>
            </c:ext>
            <c:ext xmlns:c16="http://schemas.microsoft.com/office/drawing/2014/chart" uri="{C3380CC4-5D6E-409C-BE32-E72D297353CC}">
              <c16:uniqueId val="{00000004-732D-0640-B0E9-4FE783881F24}"/>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No sabe o No responde</c:v>
          </c:tx>
          <c:spPr>
            <a:solidFill>
              <a:srgbClr val="661081"/>
            </a:solidFill>
            <a:ln>
              <a:solidFill>
                <a:srgbClr val="661081"/>
              </a:solidFill>
              <a:prstDash val="solid"/>
            </a:ln>
          </c:spPr>
          <c:invertIfNegative val="1"/>
          <c:cat>
            <c:strRef>
              <c:f>'P26'!$D$2</c:f>
            </c:strRef>
          </c:cat>
          <c:val>
            <c:numRef>
              <c:f>'P26'!$B$7</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26CC-0B4D-99A7-FF4E78705366}"/>
            </c:ext>
          </c:extLst>
        </c:ser>
        <c:ser>
          <c:idx val="1"/>
          <c:order val="1"/>
          <c:tx>
            <c:v>Ni de acuerdo ni en desacuerdo</c:v>
          </c:tx>
          <c:spPr>
            <a:solidFill>
              <a:srgbClr val="910581"/>
            </a:solidFill>
            <a:ln>
              <a:solidFill>
                <a:srgbClr val="910581"/>
              </a:solidFill>
              <a:prstDash val="solid"/>
            </a:ln>
          </c:spPr>
          <c:invertIfNegative val="1"/>
          <c:cat>
            <c:strRef>
              <c:f>'P26'!$D$2</c:f>
            </c:strRef>
          </c:cat>
          <c:val>
            <c:numRef>
              <c:f>'P26'!$B$6</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26CC-0B4D-99A7-FF4E78705366}"/>
            </c:ext>
          </c:extLst>
        </c:ser>
        <c:ser>
          <c:idx val="2"/>
          <c:order val="2"/>
          <c:tx>
            <c:v>De acuerdo</c:v>
          </c:tx>
          <c:spPr>
            <a:solidFill>
              <a:srgbClr val="9C095D"/>
            </a:solidFill>
            <a:ln>
              <a:solidFill>
                <a:srgbClr val="9C095D"/>
              </a:solidFill>
              <a:prstDash val="solid"/>
            </a:ln>
          </c:spPr>
          <c:invertIfNegative val="1"/>
          <c:cat>
            <c:strRef>
              <c:f>'P26'!$D$2</c:f>
            </c:strRef>
          </c:cat>
          <c:val>
            <c:numRef>
              <c:f>'P26'!$B$5</c:f>
              <c:numCache>
                <c:formatCode>General</c:formatCode>
                <c:ptCount val="1"/>
                <c:pt idx="0">
                  <c:v>16</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26CC-0B4D-99A7-FF4E78705366}"/>
            </c:ext>
          </c:extLst>
        </c:ser>
        <c:ser>
          <c:idx val="3"/>
          <c:order val="3"/>
          <c:tx>
            <c:v>Totalmente de acuerdo</c:v>
          </c:tx>
          <c:spPr>
            <a:solidFill>
              <a:srgbClr val="102D69"/>
            </a:solidFill>
            <a:ln>
              <a:solidFill>
                <a:srgbClr val="102D69"/>
              </a:solidFill>
              <a:prstDash val="solid"/>
            </a:ln>
          </c:spPr>
          <c:invertIfNegative val="1"/>
          <c:cat>
            <c:strRef>
              <c:f>'P26'!$D$2</c:f>
            </c:strRef>
          </c:cat>
          <c:val>
            <c:numRef>
              <c:f>'P26'!$B$4</c:f>
              <c:numCache>
                <c:formatCode>General</c:formatCode>
                <c:ptCount val="1"/>
                <c:pt idx="0">
                  <c:v>13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26CC-0B4D-99A7-FF4E78705366}"/>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Ni de acuerdo ni en desacuerdo</c:v>
          </c:tx>
          <c:spPr>
            <a:solidFill>
              <a:srgbClr val="661081"/>
            </a:solidFill>
            <a:ln>
              <a:solidFill>
                <a:srgbClr val="661081"/>
              </a:solidFill>
              <a:prstDash val="solid"/>
            </a:ln>
          </c:spPr>
          <c:invertIfNegative val="1"/>
          <c:cat>
            <c:strRef>
              <c:f>'P27'!$D$2</c:f>
            </c:strRef>
          </c:cat>
          <c:val>
            <c:numRef>
              <c:f>'P27'!$B$7</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5009-EF4C-B73A-F3FC299D23C9}"/>
            </c:ext>
          </c:extLst>
        </c:ser>
        <c:ser>
          <c:idx val="1"/>
          <c:order val="1"/>
          <c:tx>
            <c:v>Poco de acuerdo</c:v>
          </c:tx>
          <c:spPr>
            <a:solidFill>
              <a:srgbClr val="910581"/>
            </a:solidFill>
            <a:ln>
              <a:solidFill>
                <a:srgbClr val="910581"/>
              </a:solidFill>
              <a:prstDash val="solid"/>
            </a:ln>
          </c:spPr>
          <c:invertIfNegative val="1"/>
          <c:cat>
            <c:strRef>
              <c:f>'P27'!$D$2</c:f>
            </c:strRef>
          </c:cat>
          <c:val>
            <c:numRef>
              <c:f>'P27'!$B$6</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5009-EF4C-B73A-F3FC299D23C9}"/>
            </c:ext>
          </c:extLst>
        </c:ser>
        <c:ser>
          <c:idx val="2"/>
          <c:order val="2"/>
          <c:tx>
            <c:v>De acuerdo</c:v>
          </c:tx>
          <c:spPr>
            <a:solidFill>
              <a:srgbClr val="9C095D"/>
            </a:solidFill>
            <a:ln>
              <a:solidFill>
                <a:srgbClr val="9C095D"/>
              </a:solidFill>
              <a:prstDash val="solid"/>
            </a:ln>
          </c:spPr>
          <c:invertIfNegative val="1"/>
          <c:cat>
            <c:strRef>
              <c:f>'P27'!$D$2</c:f>
            </c:strRef>
          </c:cat>
          <c:val>
            <c:numRef>
              <c:f>'P27'!$B$5</c:f>
              <c:numCache>
                <c:formatCode>General</c:formatCode>
                <c:ptCount val="1"/>
                <c:pt idx="0">
                  <c:v>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5009-EF4C-B73A-F3FC299D23C9}"/>
            </c:ext>
          </c:extLst>
        </c:ser>
        <c:ser>
          <c:idx val="3"/>
          <c:order val="3"/>
          <c:tx>
            <c:v>Totalmente de acuerdo</c:v>
          </c:tx>
          <c:spPr>
            <a:solidFill>
              <a:srgbClr val="102D69"/>
            </a:solidFill>
            <a:ln>
              <a:solidFill>
                <a:srgbClr val="102D69"/>
              </a:solidFill>
              <a:prstDash val="solid"/>
            </a:ln>
          </c:spPr>
          <c:invertIfNegative val="1"/>
          <c:cat>
            <c:strRef>
              <c:f>'P27'!$D$2</c:f>
            </c:strRef>
          </c:cat>
          <c:val>
            <c:numRef>
              <c:f>'P27'!$B$4</c:f>
              <c:numCache>
                <c:formatCode>General</c:formatCode>
                <c:ptCount val="1"/>
                <c:pt idx="0">
                  <c:v>25</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5009-EF4C-B73A-F3FC299D23C9}"/>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No sabe o No responde</c:v>
          </c:tx>
          <c:spPr>
            <a:solidFill>
              <a:srgbClr val="661081"/>
            </a:solidFill>
            <a:ln>
              <a:solidFill>
                <a:srgbClr val="661081"/>
              </a:solidFill>
              <a:prstDash val="solid"/>
            </a:ln>
          </c:spPr>
          <c:invertIfNegative val="1"/>
          <c:cat>
            <c:strRef>
              <c:f>'P28'!$D$2</c:f>
            </c:strRef>
          </c:cat>
          <c:val>
            <c:numRef>
              <c:f>'P28'!$B$7</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8355-7E42-A1A2-1AC3120981BF}"/>
            </c:ext>
          </c:extLst>
        </c:ser>
        <c:ser>
          <c:idx val="1"/>
          <c:order val="1"/>
          <c:tx>
            <c:v>Ni de acuerdo ni en desacuerdo</c:v>
          </c:tx>
          <c:spPr>
            <a:solidFill>
              <a:srgbClr val="910581"/>
            </a:solidFill>
            <a:ln>
              <a:solidFill>
                <a:srgbClr val="910581"/>
              </a:solidFill>
              <a:prstDash val="solid"/>
            </a:ln>
          </c:spPr>
          <c:invertIfNegative val="1"/>
          <c:cat>
            <c:strRef>
              <c:f>'P28'!$D$2</c:f>
            </c:strRef>
          </c:cat>
          <c:val>
            <c:numRef>
              <c:f>'P28'!$B$6</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8355-7E42-A1A2-1AC3120981BF}"/>
            </c:ext>
          </c:extLst>
        </c:ser>
        <c:ser>
          <c:idx val="2"/>
          <c:order val="2"/>
          <c:tx>
            <c:v>De acuerdo</c:v>
          </c:tx>
          <c:spPr>
            <a:solidFill>
              <a:srgbClr val="9C095D"/>
            </a:solidFill>
            <a:ln>
              <a:solidFill>
                <a:srgbClr val="9C095D"/>
              </a:solidFill>
              <a:prstDash val="solid"/>
            </a:ln>
          </c:spPr>
          <c:invertIfNegative val="1"/>
          <c:cat>
            <c:strRef>
              <c:f>'P28'!$D$2</c:f>
            </c:strRef>
          </c:cat>
          <c:val>
            <c:numRef>
              <c:f>'P28'!$B$5</c:f>
              <c:numCache>
                <c:formatCode>General</c:formatCode>
                <c:ptCount val="1"/>
                <c:pt idx="0">
                  <c:v>17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8355-7E42-A1A2-1AC3120981BF}"/>
            </c:ext>
          </c:extLst>
        </c:ser>
        <c:ser>
          <c:idx val="3"/>
          <c:order val="3"/>
          <c:tx>
            <c:v>Totalmente de acuerdo</c:v>
          </c:tx>
          <c:spPr>
            <a:solidFill>
              <a:srgbClr val="102D69"/>
            </a:solidFill>
            <a:ln>
              <a:solidFill>
                <a:srgbClr val="102D69"/>
              </a:solidFill>
              <a:prstDash val="solid"/>
            </a:ln>
          </c:spPr>
          <c:invertIfNegative val="1"/>
          <c:cat>
            <c:strRef>
              <c:f>'P28'!$D$2</c:f>
            </c:strRef>
          </c:cat>
          <c:val>
            <c:numRef>
              <c:f>'P28'!$B$4</c:f>
              <c:numCache>
                <c:formatCode>General</c:formatCode>
                <c:ptCount val="1"/>
                <c:pt idx="0">
                  <c:v>12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8355-7E42-A1A2-1AC3120981BF}"/>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Ni de acuerdo ni en desacuerdo</c:v>
          </c:tx>
          <c:spPr>
            <a:solidFill>
              <a:srgbClr val="661081"/>
            </a:solidFill>
            <a:ln>
              <a:solidFill>
                <a:srgbClr val="661081"/>
              </a:solidFill>
              <a:prstDash val="solid"/>
            </a:ln>
          </c:spPr>
          <c:invertIfNegative val="1"/>
          <c:cat>
            <c:strRef>
              <c:f>'P30'!$D$2</c:f>
            </c:strRef>
          </c:cat>
          <c:val>
            <c:numRef>
              <c:f>'P30'!$B$7</c:f>
              <c:numCache>
                <c:formatCode>General</c:formatCode>
                <c:ptCount val="1"/>
                <c:pt idx="0">
                  <c:v>13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669F-184C-ABE1-4CAE94F56D27}"/>
            </c:ext>
          </c:extLst>
        </c:ser>
        <c:ser>
          <c:idx val="1"/>
          <c:order val="1"/>
          <c:tx>
            <c:v>Poco de acuerdo</c:v>
          </c:tx>
          <c:spPr>
            <a:solidFill>
              <a:srgbClr val="910581"/>
            </a:solidFill>
            <a:ln>
              <a:solidFill>
                <a:srgbClr val="910581"/>
              </a:solidFill>
              <a:prstDash val="solid"/>
            </a:ln>
          </c:spPr>
          <c:invertIfNegative val="1"/>
          <c:cat>
            <c:strRef>
              <c:f>'P30'!$D$2</c:f>
            </c:strRef>
          </c:cat>
          <c:val>
            <c:numRef>
              <c:f>'P30'!$B$6</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669F-184C-ABE1-4CAE94F56D27}"/>
            </c:ext>
          </c:extLst>
        </c:ser>
        <c:ser>
          <c:idx val="2"/>
          <c:order val="2"/>
          <c:tx>
            <c:v>De acuerdo</c:v>
          </c:tx>
          <c:spPr>
            <a:solidFill>
              <a:srgbClr val="9C095D"/>
            </a:solidFill>
            <a:ln>
              <a:solidFill>
                <a:srgbClr val="9C095D"/>
              </a:solidFill>
              <a:prstDash val="solid"/>
            </a:ln>
          </c:spPr>
          <c:invertIfNegative val="1"/>
          <c:cat>
            <c:strRef>
              <c:f>'P30'!$D$2</c:f>
            </c:strRef>
          </c:cat>
          <c:val>
            <c:numRef>
              <c:f>'P30'!$B$5</c:f>
              <c:numCache>
                <c:formatCode>General</c:formatCode>
                <c:ptCount val="1"/>
                <c:pt idx="0">
                  <c:v>11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669F-184C-ABE1-4CAE94F56D27}"/>
            </c:ext>
          </c:extLst>
        </c:ser>
        <c:ser>
          <c:idx val="3"/>
          <c:order val="3"/>
          <c:tx>
            <c:v>Totalmente de acuerdo</c:v>
          </c:tx>
          <c:spPr>
            <a:solidFill>
              <a:srgbClr val="102D69"/>
            </a:solidFill>
            <a:ln>
              <a:solidFill>
                <a:srgbClr val="102D69"/>
              </a:solidFill>
              <a:prstDash val="solid"/>
            </a:ln>
          </c:spPr>
          <c:invertIfNegative val="1"/>
          <c:cat>
            <c:strRef>
              <c:f>'P30'!$D$2</c:f>
            </c:strRef>
          </c:cat>
          <c:val>
            <c:numRef>
              <c:f>'P30'!$B$4</c:f>
              <c:numCache>
                <c:formatCode>General</c:formatCode>
                <c:ptCount val="1"/>
                <c:pt idx="0">
                  <c:v>6</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669F-184C-ABE1-4CAE94F56D27}"/>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Nada de acuerdo</c:v>
          </c:tx>
          <c:spPr>
            <a:solidFill>
              <a:srgbClr val="661081"/>
            </a:solidFill>
            <a:ln>
              <a:solidFill>
                <a:srgbClr val="661081"/>
              </a:solidFill>
              <a:prstDash val="solid"/>
            </a:ln>
          </c:spPr>
          <c:invertIfNegative val="1"/>
          <c:cat>
            <c:strRef>
              <c:f>'P31'!$D$2</c:f>
            </c:strRef>
          </c:cat>
          <c:val>
            <c:numRef>
              <c:f>'P31'!$B$8</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C6C7-624D-BD33-335DCEEB5A42}"/>
            </c:ext>
          </c:extLst>
        </c:ser>
        <c:ser>
          <c:idx val="1"/>
          <c:order val="1"/>
          <c:tx>
            <c:v>Ni de acuerdo ni en desacuerdo</c:v>
          </c:tx>
          <c:spPr>
            <a:solidFill>
              <a:srgbClr val="910581"/>
            </a:solidFill>
            <a:ln>
              <a:solidFill>
                <a:srgbClr val="910581"/>
              </a:solidFill>
              <a:prstDash val="solid"/>
            </a:ln>
          </c:spPr>
          <c:invertIfNegative val="1"/>
          <c:cat>
            <c:strRef>
              <c:f>'P31'!$D$2</c:f>
            </c:strRef>
          </c:cat>
          <c:val>
            <c:numRef>
              <c:f>'P31'!$B$7</c:f>
              <c:numCache>
                <c:formatCode>General</c:formatCode>
                <c:ptCount val="1"/>
                <c:pt idx="0">
                  <c:v>16</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C6C7-624D-BD33-335DCEEB5A42}"/>
            </c:ext>
          </c:extLst>
        </c:ser>
        <c:ser>
          <c:idx val="2"/>
          <c:order val="2"/>
          <c:tx>
            <c:v>Poco de acuerdo</c:v>
          </c:tx>
          <c:spPr>
            <a:solidFill>
              <a:srgbClr val="9C095D"/>
            </a:solidFill>
            <a:ln>
              <a:solidFill>
                <a:srgbClr val="9C095D"/>
              </a:solidFill>
              <a:prstDash val="solid"/>
            </a:ln>
          </c:spPr>
          <c:invertIfNegative val="1"/>
          <c:cat>
            <c:strRef>
              <c:f>'P31'!$D$2</c:f>
            </c:strRef>
          </c:cat>
          <c:val>
            <c:numRef>
              <c:f>'P31'!$B$6</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C6C7-624D-BD33-335DCEEB5A42}"/>
            </c:ext>
          </c:extLst>
        </c:ser>
        <c:ser>
          <c:idx val="3"/>
          <c:order val="3"/>
          <c:tx>
            <c:v>De acuerdo</c:v>
          </c:tx>
          <c:spPr>
            <a:solidFill>
              <a:srgbClr val="102D69"/>
            </a:solidFill>
            <a:ln>
              <a:solidFill>
                <a:srgbClr val="102D69"/>
              </a:solidFill>
              <a:prstDash val="solid"/>
            </a:ln>
          </c:spPr>
          <c:invertIfNegative val="1"/>
          <c:cat>
            <c:strRef>
              <c:f>'P31'!$D$2</c:f>
            </c:strRef>
          </c:cat>
          <c:val>
            <c:numRef>
              <c:f>'P31'!$B$5</c:f>
              <c:numCache>
                <c:formatCode>General</c:formatCode>
                <c:ptCount val="1"/>
                <c:pt idx="0">
                  <c:v>8</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C6C7-624D-BD33-335DCEEB5A42}"/>
            </c:ext>
          </c:extLst>
        </c:ser>
        <c:ser>
          <c:idx val="4"/>
          <c:order val="4"/>
          <c:tx>
            <c:v>Totalmente de acuerdo</c:v>
          </c:tx>
          <c:spPr>
            <a:solidFill>
              <a:srgbClr val="00A0B7"/>
            </a:solidFill>
            <a:ln>
              <a:solidFill>
                <a:srgbClr val="00A0B7"/>
              </a:solidFill>
              <a:prstDash val="solid"/>
            </a:ln>
          </c:spPr>
          <c:invertIfNegative val="1"/>
          <c:cat>
            <c:strRef>
              <c:f>'P31'!$D$2</c:f>
            </c:strRef>
          </c:cat>
          <c:val>
            <c:numRef>
              <c:f>'P31'!$B$4</c:f>
              <c:numCache>
                <c:formatCode>General</c:formatCode>
                <c:ptCount val="1"/>
                <c:pt idx="0">
                  <c:v>6</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0A0B7"/>
                    </a:solidFill>
                    <a:prstDash val="solid"/>
                  </a:ln>
                </c14:spPr>
              </c14:invertSolidFillFmt>
            </c:ext>
            <c:ext xmlns:c16="http://schemas.microsoft.com/office/drawing/2014/chart" uri="{C3380CC4-5D6E-409C-BE32-E72D297353CC}">
              <c16:uniqueId val="{00000004-C6C7-624D-BD33-335DCEEB5A42}"/>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Ni de acuerdo ni en desacuerdo</c:v>
          </c:tx>
          <c:spPr>
            <a:solidFill>
              <a:srgbClr val="661081"/>
            </a:solidFill>
            <a:ln>
              <a:solidFill>
                <a:srgbClr val="661081"/>
              </a:solidFill>
              <a:prstDash val="solid"/>
            </a:ln>
          </c:spPr>
          <c:invertIfNegative val="1"/>
          <c:cat>
            <c:strRef>
              <c:f>'P32'!$D$2</c:f>
            </c:strRef>
          </c:cat>
          <c:val>
            <c:numRef>
              <c:f>'P32'!$B$7</c:f>
              <c:numCache>
                <c:formatCode>General</c:formatCode>
                <c:ptCount val="1"/>
                <c:pt idx="0">
                  <c:v>10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4693-A542-BF4F-232DDDE98DD8}"/>
            </c:ext>
          </c:extLst>
        </c:ser>
        <c:ser>
          <c:idx val="1"/>
          <c:order val="1"/>
          <c:tx>
            <c:v>Poco de acuerdo</c:v>
          </c:tx>
          <c:spPr>
            <a:solidFill>
              <a:srgbClr val="910581"/>
            </a:solidFill>
            <a:ln>
              <a:solidFill>
                <a:srgbClr val="910581"/>
              </a:solidFill>
              <a:prstDash val="solid"/>
            </a:ln>
          </c:spPr>
          <c:invertIfNegative val="1"/>
          <c:cat>
            <c:strRef>
              <c:f>'P32'!$D$2</c:f>
            </c:strRef>
          </c:cat>
          <c:val>
            <c:numRef>
              <c:f>'P32'!$B$6</c:f>
              <c:numCache>
                <c:formatCode>General</c:formatCode>
                <c:ptCount val="1"/>
                <c:pt idx="0">
                  <c:v>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4693-A542-BF4F-232DDDE98DD8}"/>
            </c:ext>
          </c:extLst>
        </c:ser>
        <c:ser>
          <c:idx val="2"/>
          <c:order val="2"/>
          <c:tx>
            <c:v>De acuerdo</c:v>
          </c:tx>
          <c:spPr>
            <a:solidFill>
              <a:srgbClr val="9C095D"/>
            </a:solidFill>
            <a:ln>
              <a:solidFill>
                <a:srgbClr val="9C095D"/>
              </a:solidFill>
              <a:prstDash val="solid"/>
            </a:ln>
          </c:spPr>
          <c:invertIfNegative val="1"/>
          <c:cat>
            <c:strRef>
              <c:f>'P32'!$D$2</c:f>
            </c:strRef>
          </c:cat>
          <c:val>
            <c:numRef>
              <c:f>'P32'!$B$5</c:f>
              <c:numCache>
                <c:formatCode>General</c:formatCode>
                <c:ptCount val="1"/>
                <c:pt idx="0">
                  <c:v>14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4693-A542-BF4F-232DDDE98DD8}"/>
            </c:ext>
          </c:extLst>
        </c:ser>
        <c:ser>
          <c:idx val="3"/>
          <c:order val="3"/>
          <c:tx>
            <c:v>Totalmente de acuerdo</c:v>
          </c:tx>
          <c:spPr>
            <a:solidFill>
              <a:srgbClr val="102D69"/>
            </a:solidFill>
            <a:ln>
              <a:solidFill>
                <a:srgbClr val="102D69"/>
              </a:solidFill>
              <a:prstDash val="solid"/>
            </a:ln>
          </c:spPr>
          <c:invertIfNegative val="1"/>
          <c:cat>
            <c:strRef>
              <c:f>'P32'!$D$2</c:f>
            </c:strRef>
          </c:cat>
          <c:val>
            <c:numRef>
              <c:f>'P32'!$B$4</c:f>
              <c:numCache>
                <c:formatCode>General</c:formatCode>
                <c:ptCount val="1"/>
                <c:pt idx="0">
                  <c:v>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4693-A542-BF4F-232DDDE98DD8}"/>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Nada de acuerdo</c:v>
          </c:tx>
          <c:spPr>
            <a:solidFill>
              <a:srgbClr val="661081"/>
            </a:solidFill>
            <a:ln>
              <a:solidFill>
                <a:srgbClr val="661081"/>
              </a:solidFill>
              <a:prstDash val="solid"/>
            </a:ln>
          </c:spPr>
          <c:invertIfNegative val="1"/>
          <c:cat>
            <c:strRef>
              <c:f>'P33'!$D$2</c:f>
            </c:strRef>
          </c:cat>
          <c:val>
            <c:numRef>
              <c:f>'P33'!$B$8</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A905-F740-99D3-7A0F3ED360C3}"/>
            </c:ext>
          </c:extLst>
        </c:ser>
        <c:ser>
          <c:idx val="1"/>
          <c:order val="1"/>
          <c:tx>
            <c:v>Ni de acuerdo ni en desacuerdo</c:v>
          </c:tx>
          <c:spPr>
            <a:solidFill>
              <a:srgbClr val="910581"/>
            </a:solidFill>
            <a:ln>
              <a:solidFill>
                <a:srgbClr val="910581"/>
              </a:solidFill>
              <a:prstDash val="solid"/>
            </a:ln>
          </c:spPr>
          <c:invertIfNegative val="1"/>
          <c:cat>
            <c:strRef>
              <c:f>'P33'!$D$2</c:f>
            </c:strRef>
          </c:cat>
          <c:val>
            <c:numRef>
              <c:f>'P33'!$B$7</c:f>
              <c:numCache>
                <c:formatCode>General</c:formatCode>
                <c:ptCount val="1"/>
                <c:pt idx="0">
                  <c:v>14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A905-F740-99D3-7A0F3ED360C3}"/>
            </c:ext>
          </c:extLst>
        </c:ser>
        <c:ser>
          <c:idx val="2"/>
          <c:order val="2"/>
          <c:tx>
            <c:v>Poco de acuerdo</c:v>
          </c:tx>
          <c:spPr>
            <a:solidFill>
              <a:srgbClr val="9C095D"/>
            </a:solidFill>
            <a:ln>
              <a:solidFill>
                <a:srgbClr val="9C095D"/>
              </a:solidFill>
              <a:prstDash val="solid"/>
            </a:ln>
          </c:spPr>
          <c:invertIfNegative val="1"/>
          <c:cat>
            <c:strRef>
              <c:f>'P33'!$D$2</c:f>
            </c:strRef>
          </c:cat>
          <c:val>
            <c:numRef>
              <c:f>'P33'!$B$6</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A905-F740-99D3-7A0F3ED360C3}"/>
            </c:ext>
          </c:extLst>
        </c:ser>
        <c:ser>
          <c:idx val="3"/>
          <c:order val="3"/>
          <c:tx>
            <c:v>De acuerdo</c:v>
          </c:tx>
          <c:spPr>
            <a:solidFill>
              <a:srgbClr val="102D69"/>
            </a:solidFill>
            <a:ln>
              <a:solidFill>
                <a:srgbClr val="102D69"/>
              </a:solidFill>
              <a:prstDash val="solid"/>
            </a:ln>
          </c:spPr>
          <c:invertIfNegative val="1"/>
          <c:cat>
            <c:strRef>
              <c:f>'P33'!$D$2</c:f>
            </c:strRef>
          </c:cat>
          <c:val>
            <c:numRef>
              <c:f>'P33'!$B$5</c:f>
              <c:numCache>
                <c:formatCode>General</c:formatCode>
                <c:ptCount val="1"/>
                <c:pt idx="0">
                  <c:v>9</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A905-F740-99D3-7A0F3ED360C3}"/>
            </c:ext>
          </c:extLst>
        </c:ser>
        <c:ser>
          <c:idx val="4"/>
          <c:order val="4"/>
          <c:tx>
            <c:v>Totalmente de acuerdo</c:v>
          </c:tx>
          <c:spPr>
            <a:solidFill>
              <a:srgbClr val="00A0B7"/>
            </a:solidFill>
            <a:ln>
              <a:solidFill>
                <a:srgbClr val="00A0B7"/>
              </a:solidFill>
              <a:prstDash val="solid"/>
            </a:ln>
          </c:spPr>
          <c:invertIfNegative val="1"/>
          <c:cat>
            <c:strRef>
              <c:f>'P33'!$D$2</c:f>
            </c:strRef>
          </c:cat>
          <c:val>
            <c:numRef>
              <c:f>'P33'!$B$4</c:f>
              <c:numCache>
                <c:formatCode>General</c:formatCode>
                <c:ptCount val="1"/>
                <c:pt idx="0">
                  <c:v>6</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0A0B7"/>
                    </a:solidFill>
                    <a:prstDash val="solid"/>
                  </a:ln>
                </c14:spPr>
              </c14:invertSolidFillFmt>
            </c:ext>
            <c:ext xmlns:c16="http://schemas.microsoft.com/office/drawing/2014/chart" uri="{C3380CC4-5D6E-409C-BE32-E72D297353CC}">
              <c16:uniqueId val="{00000004-A905-F740-99D3-7A0F3ED360C3}"/>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Nada de acuerdo</c:v>
          </c:tx>
          <c:spPr>
            <a:solidFill>
              <a:srgbClr val="661081"/>
            </a:solidFill>
            <a:ln>
              <a:solidFill>
                <a:srgbClr val="661081"/>
              </a:solidFill>
              <a:prstDash val="solid"/>
            </a:ln>
          </c:spPr>
          <c:invertIfNegative val="1"/>
          <c:cat>
            <c:strRef>
              <c:f>'P34'!$D$2</c:f>
            </c:strRef>
          </c:cat>
          <c:val>
            <c:numRef>
              <c:f>'P34'!$B$8</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4A71-E44E-8B7D-EFF54E31CB9B}"/>
            </c:ext>
          </c:extLst>
        </c:ser>
        <c:ser>
          <c:idx val="1"/>
          <c:order val="1"/>
          <c:tx>
            <c:v>Ni de acuerdo ni en desacuerdo</c:v>
          </c:tx>
          <c:spPr>
            <a:solidFill>
              <a:srgbClr val="910581"/>
            </a:solidFill>
            <a:ln>
              <a:solidFill>
                <a:srgbClr val="910581"/>
              </a:solidFill>
              <a:prstDash val="solid"/>
            </a:ln>
          </c:spPr>
          <c:invertIfNegative val="1"/>
          <c:cat>
            <c:strRef>
              <c:f>'P34'!$D$2</c:f>
            </c:strRef>
          </c:cat>
          <c:val>
            <c:numRef>
              <c:f>'P34'!$B$7</c:f>
              <c:numCache>
                <c:formatCode>General</c:formatCode>
                <c:ptCount val="1"/>
                <c:pt idx="0">
                  <c:v>14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4A71-E44E-8B7D-EFF54E31CB9B}"/>
            </c:ext>
          </c:extLst>
        </c:ser>
        <c:ser>
          <c:idx val="2"/>
          <c:order val="2"/>
          <c:tx>
            <c:v>Poco de acuerdo</c:v>
          </c:tx>
          <c:spPr>
            <a:solidFill>
              <a:srgbClr val="9C095D"/>
            </a:solidFill>
            <a:ln>
              <a:solidFill>
                <a:srgbClr val="9C095D"/>
              </a:solidFill>
              <a:prstDash val="solid"/>
            </a:ln>
          </c:spPr>
          <c:invertIfNegative val="1"/>
          <c:cat>
            <c:strRef>
              <c:f>'P34'!$D$2</c:f>
            </c:strRef>
          </c:cat>
          <c:val>
            <c:numRef>
              <c:f>'P34'!$B$6</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4A71-E44E-8B7D-EFF54E31CB9B}"/>
            </c:ext>
          </c:extLst>
        </c:ser>
        <c:ser>
          <c:idx val="3"/>
          <c:order val="3"/>
          <c:tx>
            <c:v>De acuerdo</c:v>
          </c:tx>
          <c:spPr>
            <a:solidFill>
              <a:srgbClr val="102D69"/>
            </a:solidFill>
            <a:ln>
              <a:solidFill>
                <a:srgbClr val="102D69"/>
              </a:solidFill>
              <a:prstDash val="solid"/>
            </a:ln>
          </c:spPr>
          <c:invertIfNegative val="1"/>
          <c:cat>
            <c:strRef>
              <c:f>'P34'!$D$2</c:f>
            </c:strRef>
          </c:cat>
          <c:val>
            <c:numRef>
              <c:f>'P34'!$B$5</c:f>
              <c:numCache>
                <c:formatCode>General</c:formatCode>
                <c:ptCount val="1"/>
                <c:pt idx="0">
                  <c:v>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4A71-E44E-8B7D-EFF54E31CB9B}"/>
            </c:ext>
          </c:extLst>
        </c:ser>
        <c:ser>
          <c:idx val="4"/>
          <c:order val="4"/>
          <c:tx>
            <c:v>Totalmente de acuerdo</c:v>
          </c:tx>
          <c:spPr>
            <a:solidFill>
              <a:srgbClr val="00A0B7"/>
            </a:solidFill>
            <a:ln>
              <a:solidFill>
                <a:srgbClr val="00A0B7"/>
              </a:solidFill>
              <a:prstDash val="solid"/>
            </a:ln>
          </c:spPr>
          <c:invertIfNegative val="1"/>
          <c:cat>
            <c:strRef>
              <c:f>'P34'!$D$2</c:f>
            </c:strRef>
          </c:cat>
          <c:val>
            <c:numRef>
              <c:f>'P34'!$B$4</c:f>
              <c:numCache>
                <c:formatCode>General</c:formatCode>
                <c:ptCount val="1"/>
                <c:pt idx="0">
                  <c:v>8</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0A0B7"/>
                    </a:solidFill>
                    <a:prstDash val="solid"/>
                  </a:ln>
                </c14:spPr>
              </c14:invertSolidFillFmt>
            </c:ext>
            <c:ext xmlns:c16="http://schemas.microsoft.com/office/drawing/2014/chart" uri="{C3380CC4-5D6E-409C-BE32-E72D297353CC}">
              <c16:uniqueId val="{00000004-4A71-E44E-8B7D-EFF54E31CB9B}"/>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Ni de acuerdo ni en desacuerdo</c:v>
          </c:tx>
          <c:spPr>
            <a:solidFill>
              <a:srgbClr val="661081"/>
            </a:solidFill>
            <a:ln>
              <a:solidFill>
                <a:srgbClr val="661081"/>
              </a:solidFill>
              <a:prstDash val="solid"/>
            </a:ln>
          </c:spPr>
          <c:invertIfNegative val="1"/>
          <c:cat>
            <c:strRef>
              <c:f>'P35'!$D$2</c:f>
            </c:strRef>
          </c:cat>
          <c:val>
            <c:numRef>
              <c:f>'P35'!$B$7</c:f>
              <c:numCache>
                <c:formatCode>General</c:formatCode>
                <c:ptCount val="1"/>
                <c:pt idx="0">
                  <c:v>10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441F-4B47-8F39-549DEB701551}"/>
            </c:ext>
          </c:extLst>
        </c:ser>
        <c:ser>
          <c:idx val="1"/>
          <c:order val="1"/>
          <c:tx>
            <c:v>Poco de acuerdo</c:v>
          </c:tx>
          <c:spPr>
            <a:solidFill>
              <a:srgbClr val="910581"/>
            </a:solidFill>
            <a:ln>
              <a:solidFill>
                <a:srgbClr val="910581"/>
              </a:solidFill>
              <a:prstDash val="solid"/>
            </a:ln>
          </c:spPr>
          <c:invertIfNegative val="1"/>
          <c:cat>
            <c:strRef>
              <c:f>'P35'!$D$2</c:f>
            </c:strRef>
          </c:cat>
          <c:val>
            <c:numRef>
              <c:f>'P35'!$B$6</c:f>
              <c:numCache>
                <c:formatCode>General</c:formatCode>
                <c:ptCount val="1"/>
                <c:pt idx="0">
                  <c:v>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441F-4B47-8F39-549DEB701551}"/>
            </c:ext>
          </c:extLst>
        </c:ser>
        <c:ser>
          <c:idx val="2"/>
          <c:order val="2"/>
          <c:tx>
            <c:v>De acuerdo</c:v>
          </c:tx>
          <c:spPr>
            <a:solidFill>
              <a:srgbClr val="9C095D"/>
            </a:solidFill>
            <a:ln>
              <a:solidFill>
                <a:srgbClr val="9C095D"/>
              </a:solidFill>
              <a:prstDash val="solid"/>
            </a:ln>
          </c:spPr>
          <c:invertIfNegative val="1"/>
          <c:cat>
            <c:strRef>
              <c:f>'P35'!$D$2</c:f>
            </c:strRef>
          </c:cat>
          <c:val>
            <c:numRef>
              <c:f>'P35'!$B$5</c:f>
              <c:numCache>
                <c:formatCode>General</c:formatCode>
                <c:ptCount val="1"/>
                <c:pt idx="0">
                  <c:v>13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441F-4B47-8F39-549DEB701551}"/>
            </c:ext>
          </c:extLst>
        </c:ser>
        <c:ser>
          <c:idx val="3"/>
          <c:order val="3"/>
          <c:tx>
            <c:v>Totalmente de acuerdo</c:v>
          </c:tx>
          <c:spPr>
            <a:solidFill>
              <a:srgbClr val="102D69"/>
            </a:solidFill>
            <a:ln>
              <a:solidFill>
                <a:srgbClr val="102D69"/>
              </a:solidFill>
              <a:prstDash val="solid"/>
            </a:ln>
          </c:spPr>
          <c:invertIfNegative val="1"/>
          <c:cat>
            <c:strRef>
              <c:f>'P35'!$D$2</c:f>
            </c:strRef>
          </c:cat>
          <c:val>
            <c:numRef>
              <c:f>'P35'!$B$4</c:f>
              <c:numCache>
                <c:formatCode>General</c:formatCode>
                <c:ptCount val="1"/>
                <c:pt idx="0">
                  <c:v>5</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441F-4B47-8F39-549DEB701551}"/>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Nada de acuerdo</c:v>
          </c:tx>
          <c:spPr>
            <a:solidFill>
              <a:srgbClr val="661081"/>
            </a:solidFill>
            <a:ln>
              <a:solidFill>
                <a:srgbClr val="661081"/>
              </a:solidFill>
              <a:prstDash val="solid"/>
            </a:ln>
          </c:spPr>
          <c:invertIfNegative val="1"/>
          <c:cat>
            <c:strRef>
              <c:f>'P36'!$D$2</c:f>
            </c:strRef>
          </c:cat>
          <c:val>
            <c:numRef>
              <c:f>'P36'!$B$8</c:f>
              <c:numCache>
                <c:formatCode>General</c:formatCode>
                <c:ptCount val="1"/>
                <c:pt idx="0">
                  <c:v>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8A6B-4B4E-8E4A-F6401D461577}"/>
            </c:ext>
          </c:extLst>
        </c:ser>
        <c:ser>
          <c:idx val="1"/>
          <c:order val="1"/>
          <c:tx>
            <c:v>Ni de acuerdo ni en desacuerdo</c:v>
          </c:tx>
          <c:spPr>
            <a:solidFill>
              <a:srgbClr val="910581"/>
            </a:solidFill>
            <a:ln>
              <a:solidFill>
                <a:srgbClr val="910581"/>
              </a:solidFill>
              <a:prstDash val="solid"/>
            </a:ln>
          </c:spPr>
          <c:invertIfNegative val="1"/>
          <c:cat>
            <c:strRef>
              <c:f>'P36'!$D$2</c:f>
            </c:strRef>
          </c:cat>
          <c:val>
            <c:numRef>
              <c:f>'P36'!$B$7</c:f>
              <c:numCache>
                <c:formatCode>General</c:formatCode>
                <c:ptCount val="1"/>
                <c:pt idx="0">
                  <c:v>11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8A6B-4B4E-8E4A-F6401D461577}"/>
            </c:ext>
          </c:extLst>
        </c:ser>
        <c:ser>
          <c:idx val="2"/>
          <c:order val="2"/>
          <c:tx>
            <c:v>Poco de acuerdo</c:v>
          </c:tx>
          <c:spPr>
            <a:solidFill>
              <a:srgbClr val="9C095D"/>
            </a:solidFill>
            <a:ln>
              <a:solidFill>
                <a:srgbClr val="9C095D"/>
              </a:solidFill>
              <a:prstDash val="solid"/>
            </a:ln>
          </c:spPr>
          <c:invertIfNegative val="1"/>
          <c:cat>
            <c:strRef>
              <c:f>'P36'!$D$2</c:f>
            </c:strRef>
          </c:cat>
          <c:val>
            <c:numRef>
              <c:f>'P36'!$B$6</c:f>
              <c:numCache>
                <c:formatCode>General</c:formatCode>
                <c:ptCount val="1"/>
                <c:pt idx="0">
                  <c:v>6</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8A6B-4B4E-8E4A-F6401D461577}"/>
            </c:ext>
          </c:extLst>
        </c:ser>
        <c:ser>
          <c:idx val="3"/>
          <c:order val="3"/>
          <c:tx>
            <c:v>De acuerdo</c:v>
          </c:tx>
          <c:spPr>
            <a:solidFill>
              <a:srgbClr val="102D69"/>
            </a:solidFill>
            <a:ln>
              <a:solidFill>
                <a:srgbClr val="102D69"/>
              </a:solidFill>
              <a:prstDash val="solid"/>
            </a:ln>
          </c:spPr>
          <c:invertIfNegative val="1"/>
          <c:cat>
            <c:strRef>
              <c:f>'P36'!$D$2</c:f>
            </c:strRef>
          </c:cat>
          <c:val>
            <c:numRef>
              <c:f>'P36'!$B$5</c:f>
              <c:numCache>
                <c:formatCode>General</c:formatCode>
                <c:ptCount val="1"/>
                <c:pt idx="0">
                  <c:v>10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8A6B-4B4E-8E4A-F6401D461577}"/>
            </c:ext>
          </c:extLst>
        </c:ser>
        <c:ser>
          <c:idx val="4"/>
          <c:order val="4"/>
          <c:tx>
            <c:v>Totalmente de acuerdo</c:v>
          </c:tx>
          <c:spPr>
            <a:solidFill>
              <a:srgbClr val="00A0B7"/>
            </a:solidFill>
            <a:ln>
              <a:solidFill>
                <a:srgbClr val="00A0B7"/>
              </a:solidFill>
              <a:prstDash val="solid"/>
            </a:ln>
          </c:spPr>
          <c:invertIfNegative val="1"/>
          <c:cat>
            <c:strRef>
              <c:f>'P36'!$D$2</c:f>
            </c:strRef>
          </c:cat>
          <c:val>
            <c:numRef>
              <c:f>'P36'!$B$4</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0A0B7"/>
                    </a:solidFill>
                    <a:prstDash val="solid"/>
                  </a:ln>
                </c14:spPr>
              </c14:invertSolidFillFmt>
            </c:ext>
            <c:ext xmlns:c16="http://schemas.microsoft.com/office/drawing/2014/chart" uri="{C3380CC4-5D6E-409C-BE32-E72D297353CC}">
              <c16:uniqueId val="{00000004-8A6B-4B4E-8E4A-F6401D461577}"/>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Nada de acuerdo</c:v>
          </c:tx>
          <c:spPr>
            <a:solidFill>
              <a:srgbClr val="661081"/>
            </a:solidFill>
            <a:ln>
              <a:solidFill>
                <a:srgbClr val="661081"/>
              </a:solidFill>
              <a:prstDash val="solid"/>
            </a:ln>
          </c:spPr>
          <c:invertIfNegative val="1"/>
          <c:cat>
            <c:strRef>
              <c:f>'P37'!$D$2</c:f>
            </c:strRef>
          </c:cat>
          <c:val>
            <c:numRef>
              <c:f>'P37'!$B$8</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A744-2E4E-9BA2-6AA8E1504782}"/>
            </c:ext>
          </c:extLst>
        </c:ser>
        <c:ser>
          <c:idx val="1"/>
          <c:order val="1"/>
          <c:tx>
            <c:v>Ni de acuerdo ni en desacuerdo</c:v>
          </c:tx>
          <c:spPr>
            <a:solidFill>
              <a:srgbClr val="910581"/>
            </a:solidFill>
            <a:ln>
              <a:solidFill>
                <a:srgbClr val="910581"/>
              </a:solidFill>
              <a:prstDash val="solid"/>
            </a:ln>
          </c:spPr>
          <c:invertIfNegative val="1"/>
          <c:cat>
            <c:strRef>
              <c:f>'P37'!$D$2</c:f>
            </c:strRef>
          </c:cat>
          <c:val>
            <c:numRef>
              <c:f>'P37'!$B$7</c:f>
              <c:numCache>
                <c:formatCode>General</c:formatCode>
                <c:ptCount val="1"/>
                <c:pt idx="0">
                  <c:v>14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A744-2E4E-9BA2-6AA8E1504782}"/>
            </c:ext>
          </c:extLst>
        </c:ser>
        <c:ser>
          <c:idx val="2"/>
          <c:order val="2"/>
          <c:tx>
            <c:v>Poco de acuerdo</c:v>
          </c:tx>
          <c:spPr>
            <a:solidFill>
              <a:srgbClr val="9C095D"/>
            </a:solidFill>
            <a:ln>
              <a:solidFill>
                <a:srgbClr val="9C095D"/>
              </a:solidFill>
              <a:prstDash val="solid"/>
            </a:ln>
          </c:spPr>
          <c:invertIfNegative val="1"/>
          <c:cat>
            <c:strRef>
              <c:f>'P37'!$D$2</c:f>
            </c:strRef>
          </c:cat>
          <c:val>
            <c:numRef>
              <c:f>'P37'!$B$6</c:f>
              <c:numCache>
                <c:formatCode>General</c:formatCode>
                <c:ptCount val="1"/>
                <c:pt idx="0">
                  <c:v>5</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A744-2E4E-9BA2-6AA8E1504782}"/>
            </c:ext>
          </c:extLst>
        </c:ser>
        <c:ser>
          <c:idx val="3"/>
          <c:order val="3"/>
          <c:tx>
            <c:v>De acuerdo</c:v>
          </c:tx>
          <c:spPr>
            <a:solidFill>
              <a:srgbClr val="102D69"/>
            </a:solidFill>
            <a:ln>
              <a:solidFill>
                <a:srgbClr val="102D69"/>
              </a:solidFill>
              <a:prstDash val="solid"/>
            </a:ln>
          </c:spPr>
          <c:invertIfNegative val="1"/>
          <c:cat>
            <c:strRef>
              <c:f>'P37'!$D$2</c:f>
            </c:strRef>
          </c:cat>
          <c:val>
            <c:numRef>
              <c:f>'P37'!$B$5</c:f>
              <c:numCache>
                <c:formatCode>General</c:formatCode>
                <c:ptCount val="1"/>
                <c:pt idx="0">
                  <c:v>8</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A744-2E4E-9BA2-6AA8E1504782}"/>
            </c:ext>
          </c:extLst>
        </c:ser>
        <c:ser>
          <c:idx val="4"/>
          <c:order val="4"/>
          <c:tx>
            <c:v>Totalmente de acuerdo</c:v>
          </c:tx>
          <c:spPr>
            <a:solidFill>
              <a:srgbClr val="00A0B7"/>
            </a:solidFill>
            <a:ln>
              <a:solidFill>
                <a:srgbClr val="00A0B7"/>
              </a:solidFill>
              <a:prstDash val="solid"/>
            </a:ln>
          </c:spPr>
          <c:invertIfNegative val="1"/>
          <c:cat>
            <c:strRef>
              <c:f>'P37'!$D$2</c:f>
            </c:strRef>
          </c:cat>
          <c:val>
            <c:numRef>
              <c:f>'P37'!$B$4</c:f>
              <c:numCache>
                <c:formatCode>General</c:formatCode>
                <c:ptCount val="1"/>
                <c:pt idx="0">
                  <c:v>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0A0B7"/>
                    </a:solidFill>
                    <a:prstDash val="solid"/>
                  </a:ln>
                </c14:spPr>
              </c14:invertSolidFillFmt>
            </c:ext>
            <c:ext xmlns:c16="http://schemas.microsoft.com/office/drawing/2014/chart" uri="{C3380CC4-5D6E-409C-BE32-E72D297353CC}">
              <c16:uniqueId val="{00000004-A744-2E4E-9BA2-6AA8E1504782}"/>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Ni de acuerdo ni en desacuerdo</c:v>
          </c:tx>
          <c:spPr>
            <a:solidFill>
              <a:srgbClr val="661081"/>
            </a:solidFill>
            <a:ln>
              <a:solidFill>
                <a:srgbClr val="661081"/>
              </a:solidFill>
              <a:prstDash val="solid"/>
            </a:ln>
          </c:spPr>
          <c:invertIfNegative val="1"/>
          <c:cat>
            <c:strRef>
              <c:f>'P38'!$D$2</c:f>
            </c:strRef>
          </c:cat>
          <c:val>
            <c:numRef>
              <c:f>'P38'!$B$7</c:f>
              <c:numCache>
                <c:formatCode>General</c:formatCode>
                <c:ptCount val="1"/>
                <c:pt idx="0">
                  <c:v>14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CF72-484B-BC23-AEBC2970486F}"/>
            </c:ext>
          </c:extLst>
        </c:ser>
        <c:ser>
          <c:idx val="1"/>
          <c:order val="1"/>
          <c:tx>
            <c:v>Poco de acuerdo</c:v>
          </c:tx>
          <c:spPr>
            <a:solidFill>
              <a:srgbClr val="910581"/>
            </a:solidFill>
            <a:ln>
              <a:solidFill>
                <a:srgbClr val="910581"/>
              </a:solidFill>
              <a:prstDash val="solid"/>
            </a:ln>
          </c:spPr>
          <c:invertIfNegative val="1"/>
          <c:cat>
            <c:strRef>
              <c:f>'P38'!$D$2</c:f>
            </c:strRef>
          </c:cat>
          <c:val>
            <c:numRef>
              <c:f>'P38'!$B$6</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CF72-484B-BC23-AEBC2970486F}"/>
            </c:ext>
          </c:extLst>
        </c:ser>
        <c:ser>
          <c:idx val="2"/>
          <c:order val="2"/>
          <c:tx>
            <c:v>De acuerdo</c:v>
          </c:tx>
          <c:spPr>
            <a:solidFill>
              <a:srgbClr val="9C095D"/>
            </a:solidFill>
            <a:ln>
              <a:solidFill>
                <a:srgbClr val="9C095D"/>
              </a:solidFill>
              <a:prstDash val="solid"/>
            </a:ln>
          </c:spPr>
          <c:invertIfNegative val="1"/>
          <c:cat>
            <c:strRef>
              <c:f>'P38'!$D$2</c:f>
            </c:strRef>
          </c:cat>
          <c:val>
            <c:numRef>
              <c:f>'P38'!$B$5</c:f>
              <c:numCache>
                <c:formatCode>General</c:formatCode>
                <c:ptCount val="1"/>
                <c:pt idx="0">
                  <c:v>12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CF72-484B-BC23-AEBC2970486F}"/>
            </c:ext>
          </c:extLst>
        </c:ser>
        <c:ser>
          <c:idx val="3"/>
          <c:order val="3"/>
          <c:tx>
            <c:v>Totalmente de acuerdo</c:v>
          </c:tx>
          <c:spPr>
            <a:solidFill>
              <a:srgbClr val="102D69"/>
            </a:solidFill>
            <a:ln>
              <a:solidFill>
                <a:srgbClr val="102D69"/>
              </a:solidFill>
              <a:prstDash val="solid"/>
            </a:ln>
          </c:spPr>
          <c:invertIfNegative val="1"/>
          <c:cat>
            <c:strRef>
              <c:f>'P38'!$D$2</c:f>
            </c:strRef>
          </c:cat>
          <c:val>
            <c:numRef>
              <c:f>'P38'!$B$4</c:f>
              <c:numCache>
                <c:formatCode>General</c:formatCode>
                <c:ptCount val="1"/>
                <c:pt idx="0">
                  <c:v>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CF72-484B-BC23-AEBC2970486F}"/>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Ni de acuerdo ni en desacuerdo</c:v>
          </c:tx>
          <c:spPr>
            <a:solidFill>
              <a:srgbClr val="661081"/>
            </a:solidFill>
            <a:ln>
              <a:solidFill>
                <a:srgbClr val="661081"/>
              </a:solidFill>
              <a:prstDash val="solid"/>
            </a:ln>
          </c:spPr>
          <c:invertIfNegative val="1"/>
          <c:cat>
            <c:strRef>
              <c:f>'P39'!$D$2</c:f>
            </c:strRef>
          </c:cat>
          <c:val>
            <c:numRef>
              <c:f>'P39'!$B$7</c:f>
              <c:numCache>
                <c:formatCode>General</c:formatCode>
                <c:ptCount val="1"/>
                <c:pt idx="0">
                  <c:v>16</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9B90-EA47-8837-9FA1F54398FD}"/>
            </c:ext>
          </c:extLst>
        </c:ser>
        <c:ser>
          <c:idx val="1"/>
          <c:order val="1"/>
          <c:tx>
            <c:v>Poco de acuerdo</c:v>
          </c:tx>
          <c:spPr>
            <a:solidFill>
              <a:srgbClr val="910581"/>
            </a:solidFill>
            <a:ln>
              <a:solidFill>
                <a:srgbClr val="910581"/>
              </a:solidFill>
              <a:prstDash val="solid"/>
            </a:ln>
          </c:spPr>
          <c:invertIfNegative val="1"/>
          <c:cat>
            <c:strRef>
              <c:f>'P39'!$D$2</c:f>
            </c:strRef>
          </c:cat>
          <c:val>
            <c:numRef>
              <c:f>'P39'!$B$6</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9B90-EA47-8837-9FA1F54398FD}"/>
            </c:ext>
          </c:extLst>
        </c:ser>
        <c:ser>
          <c:idx val="2"/>
          <c:order val="2"/>
          <c:tx>
            <c:v>De acuerdo</c:v>
          </c:tx>
          <c:spPr>
            <a:solidFill>
              <a:srgbClr val="9C095D"/>
            </a:solidFill>
            <a:ln>
              <a:solidFill>
                <a:srgbClr val="9C095D"/>
              </a:solidFill>
              <a:prstDash val="solid"/>
            </a:ln>
          </c:spPr>
          <c:invertIfNegative val="1"/>
          <c:cat>
            <c:strRef>
              <c:f>'P39'!$D$2</c:f>
            </c:strRef>
          </c:cat>
          <c:val>
            <c:numRef>
              <c:f>'P39'!$B$5</c:f>
              <c:numCache>
                <c:formatCode>General</c:formatCode>
                <c:ptCount val="1"/>
                <c:pt idx="0">
                  <c:v>12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9B90-EA47-8837-9FA1F54398FD}"/>
            </c:ext>
          </c:extLst>
        </c:ser>
        <c:ser>
          <c:idx val="3"/>
          <c:order val="3"/>
          <c:tx>
            <c:v>Totalmente de acuerdo</c:v>
          </c:tx>
          <c:spPr>
            <a:solidFill>
              <a:srgbClr val="102D69"/>
            </a:solidFill>
            <a:ln>
              <a:solidFill>
                <a:srgbClr val="102D69"/>
              </a:solidFill>
              <a:prstDash val="solid"/>
            </a:ln>
          </c:spPr>
          <c:invertIfNegative val="1"/>
          <c:cat>
            <c:strRef>
              <c:f>'P39'!$D$2</c:f>
            </c:strRef>
          </c:cat>
          <c:val>
            <c:numRef>
              <c:f>'P39'!$B$4</c:f>
              <c:numCache>
                <c:formatCode>General</c:formatCode>
                <c:ptCount val="1"/>
                <c:pt idx="0">
                  <c:v>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9B90-EA47-8837-9FA1F54398FD}"/>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Ni de acuerdo ni en desacuerdo</c:v>
          </c:tx>
          <c:spPr>
            <a:solidFill>
              <a:srgbClr val="661081"/>
            </a:solidFill>
            <a:ln>
              <a:solidFill>
                <a:srgbClr val="661081"/>
              </a:solidFill>
              <a:prstDash val="solid"/>
            </a:ln>
          </c:spPr>
          <c:invertIfNegative val="1"/>
          <c:cat>
            <c:strRef>
              <c:f>'P40'!$D$2</c:f>
            </c:strRef>
          </c:cat>
          <c:val>
            <c:numRef>
              <c:f>'P40'!$B$7</c:f>
              <c:numCache>
                <c:formatCode>General</c:formatCode>
                <c:ptCount val="1"/>
                <c:pt idx="0">
                  <c:v>14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FB2E-564D-92E9-CE22EADBF8DF}"/>
            </c:ext>
          </c:extLst>
        </c:ser>
        <c:ser>
          <c:idx val="1"/>
          <c:order val="1"/>
          <c:tx>
            <c:v>Poco de acuerdo</c:v>
          </c:tx>
          <c:spPr>
            <a:solidFill>
              <a:srgbClr val="910581"/>
            </a:solidFill>
            <a:ln>
              <a:solidFill>
                <a:srgbClr val="910581"/>
              </a:solidFill>
              <a:prstDash val="solid"/>
            </a:ln>
          </c:spPr>
          <c:invertIfNegative val="1"/>
          <c:cat>
            <c:strRef>
              <c:f>'P40'!$D$2</c:f>
            </c:strRef>
          </c:cat>
          <c:val>
            <c:numRef>
              <c:f>'P40'!$B$6</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FB2E-564D-92E9-CE22EADBF8DF}"/>
            </c:ext>
          </c:extLst>
        </c:ser>
        <c:ser>
          <c:idx val="2"/>
          <c:order val="2"/>
          <c:tx>
            <c:v>De acuerdo</c:v>
          </c:tx>
          <c:spPr>
            <a:solidFill>
              <a:srgbClr val="9C095D"/>
            </a:solidFill>
            <a:ln>
              <a:solidFill>
                <a:srgbClr val="9C095D"/>
              </a:solidFill>
              <a:prstDash val="solid"/>
            </a:ln>
          </c:spPr>
          <c:invertIfNegative val="1"/>
          <c:cat>
            <c:strRef>
              <c:f>'P40'!$D$2</c:f>
            </c:strRef>
          </c:cat>
          <c:val>
            <c:numRef>
              <c:f>'P40'!$B$5</c:f>
              <c:numCache>
                <c:formatCode>General</c:formatCode>
                <c:ptCount val="1"/>
                <c:pt idx="0">
                  <c:v>10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FB2E-564D-92E9-CE22EADBF8DF}"/>
            </c:ext>
          </c:extLst>
        </c:ser>
        <c:ser>
          <c:idx val="3"/>
          <c:order val="3"/>
          <c:tx>
            <c:v>Totalmente de acuerdo</c:v>
          </c:tx>
          <c:spPr>
            <a:solidFill>
              <a:srgbClr val="102D69"/>
            </a:solidFill>
            <a:ln>
              <a:solidFill>
                <a:srgbClr val="102D69"/>
              </a:solidFill>
              <a:prstDash val="solid"/>
            </a:ln>
          </c:spPr>
          <c:invertIfNegative val="1"/>
          <c:cat>
            <c:strRef>
              <c:f>'P40'!$D$2</c:f>
            </c:strRef>
          </c:cat>
          <c:val>
            <c:numRef>
              <c:f>'P40'!$B$4</c:f>
              <c:numCache>
                <c:formatCode>General</c:formatCode>
                <c:ptCount val="1"/>
                <c:pt idx="0">
                  <c:v>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FB2E-564D-92E9-CE22EADBF8DF}"/>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Ni de acuerdo ni en desacuerdo</c:v>
          </c:tx>
          <c:spPr>
            <a:solidFill>
              <a:srgbClr val="661081"/>
            </a:solidFill>
            <a:ln>
              <a:solidFill>
                <a:srgbClr val="661081"/>
              </a:solidFill>
              <a:prstDash val="solid"/>
            </a:ln>
          </c:spPr>
          <c:invertIfNegative val="1"/>
          <c:cat>
            <c:strRef>
              <c:f>'P41'!$D$2</c:f>
            </c:strRef>
          </c:cat>
          <c:val>
            <c:numRef>
              <c:f>'P41'!$B$7</c:f>
              <c:numCache>
                <c:formatCode>General</c:formatCode>
                <c:ptCount val="1"/>
                <c:pt idx="0">
                  <c:v>8</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3132-DB4B-BA5E-BDF377C99292}"/>
            </c:ext>
          </c:extLst>
        </c:ser>
        <c:ser>
          <c:idx val="1"/>
          <c:order val="1"/>
          <c:tx>
            <c:v>Poco de acuerdo</c:v>
          </c:tx>
          <c:spPr>
            <a:solidFill>
              <a:srgbClr val="910581"/>
            </a:solidFill>
            <a:ln>
              <a:solidFill>
                <a:srgbClr val="910581"/>
              </a:solidFill>
              <a:prstDash val="solid"/>
            </a:ln>
          </c:spPr>
          <c:invertIfNegative val="1"/>
          <c:cat>
            <c:strRef>
              <c:f>'P41'!$D$2</c:f>
            </c:strRef>
          </c:cat>
          <c:val>
            <c:numRef>
              <c:f>'P41'!$B$6</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3132-DB4B-BA5E-BDF377C99292}"/>
            </c:ext>
          </c:extLst>
        </c:ser>
        <c:ser>
          <c:idx val="2"/>
          <c:order val="2"/>
          <c:tx>
            <c:v>De acuerdo</c:v>
          </c:tx>
          <c:spPr>
            <a:solidFill>
              <a:srgbClr val="9C095D"/>
            </a:solidFill>
            <a:ln>
              <a:solidFill>
                <a:srgbClr val="9C095D"/>
              </a:solidFill>
              <a:prstDash val="solid"/>
            </a:ln>
          </c:spPr>
          <c:invertIfNegative val="1"/>
          <c:cat>
            <c:strRef>
              <c:f>'P41'!$D$2</c:f>
            </c:strRef>
          </c:cat>
          <c:val>
            <c:numRef>
              <c:f>'P41'!$B$5</c:f>
              <c:numCache>
                <c:formatCode>General</c:formatCode>
                <c:ptCount val="1"/>
                <c:pt idx="0">
                  <c:v>17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3132-DB4B-BA5E-BDF377C99292}"/>
            </c:ext>
          </c:extLst>
        </c:ser>
        <c:ser>
          <c:idx val="3"/>
          <c:order val="3"/>
          <c:tx>
            <c:v>Totalmente de acuerdo</c:v>
          </c:tx>
          <c:spPr>
            <a:solidFill>
              <a:srgbClr val="102D69"/>
            </a:solidFill>
            <a:ln>
              <a:solidFill>
                <a:srgbClr val="102D69"/>
              </a:solidFill>
              <a:prstDash val="solid"/>
            </a:ln>
          </c:spPr>
          <c:invertIfNegative val="1"/>
          <c:cat>
            <c:strRef>
              <c:f>'P41'!$D$2</c:f>
            </c:strRef>
          </c:cat>
          <c:val>
            <c:numRef>
              <c:f>'P41'!$B$4</c:f>
              <c:numCache>
                <c:formatCode>General</c:formatCode>
                <c:ptCount val="1"/>
                <c:pt idx="0">
                  <c:v>5</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3132-DB4B-BA5E-BDF377C99292}"/>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Ni de acuerdo ni en desacuerdo</c:v>
          </c:tx>
          <c:spPr>
            <a:solidFill>
              <a:srgbClr val="661081"/>
            </a:solidFill>
            <a:ln>
              <a:solidFill>
                <a:srgbClr val="661081"/>
              </a:solidFill>
              <a:prstDash val="solid"/>
            </a:ln>
          </c:spPr>
          <c:invertIfNegative val="1"/>
          <c:cat>
            <c:strRef>
              <c:f>'P42'!$D$2</c:f>
            </c:strRef>
          </c:cat>
          <c:val>
            <c:numRef>
              <c:f>'P42'!$B$7</c:f>
              <c:numCache>
                <c:formatCode>General</c:formatCode>
                <c:ptCount val="1"/>
                <c:pt idx="0">
                  <c:v>14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ABDD-BC44-A928-982A7B5866EB}"/>
            </c:ext>
          </c:extLst>
        </c:ser>
        <c:ser>
          <c:idx val="1"/>
          <c:order val="1"/>
          <c:tx>
            <c:v>Poco de acuerdo</c:v>
          </c:tx>
          <c:spPr>
            <a:solidFill>
              <a:srgbClr val="910581"/>
            </a:solidFill>
            <a:ln>
              <a:solidFill>
                <a:srgbClr val="910581"/>
              </a:solidFill>
              <a:prstDash val="solid"/>
            </a:ln>
          </c:spPr>
          <c:invertIfNegative val="1"/>
          <c:cat>
            <c:strRef>
              <c:f>'P42'!$D$2</c:f>
            </c:strRef>
          </c:cat>
          <c:val>
            <c:numRef>
              <c:f>'P42'!$B$6</c:f>
              <c:numCache>
                <c:formatCode>General</c:formatCode>
                <c:ptCount val="1"/>
                <c:pt idx="0">
                  <c:v>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ABDD-BC44-A928-982A7B5866EB}"/>
            </c:ext>
          </c:extLst>
        </c:ser>
        <c:ser>
          <c:idx val="2"/>
          <c:order val="2"/>
          <c:tx>
            <c:v>De acuerdo</c:v>
          </c:tx>
          <c:spPr>
            <a:solidFill>
              <a:srgbClr val="9C095D"/>
            </a:solidFill>
            <a:ln>
              <a:solidFill>
                <a:srgbClr val="9C095D"/>
              </a:solidFill>
              <a:prstDash val="solid"/>
            </a:ln>
          </c:spPr>
          <c:invertIfNegative val="1"/>
          <c:cat>
            <c:strRef>
              <c:f>'P42'!$D$2</c:f>
            </c:strRef>
          </c:cat>
          <c:val>
            <c:numRef>
              <c:f>'P42'!$B$5</c:f>
              <c:numCache>
                <c:formatCode>General</c:formatCode>
                <c:ptCount val="1"/>
                <c:pt idx="0">
                  <c:v>11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ABDD-BC44-A928-982A7B5866EB}"/>
            </c:ext>
          </c:extLst>
        </c:ser>
        <c:ser>
          <c:idx val="3"/>
          <c:order val="3"/>
          <c:tx>
            <c:v>Totalmente de acuerdo</c:v>
          </c:tx>
          <c:spPr>
            <a:solidFill>
              <a:srgbClr val="102D69"/>
            </a:solidFill>
            <a:ln>
              <a:solidFill>
                <a:srgbClr val="102D69"/>
              </a:solidFill>
              <a:prstDash val="solid"/>
            </a:ln>
          </c:spPr>
          <c:invertIfNegative val="1"/>
          <c:cat>
            <c:strRef>
              <c:f>'P42'!$D$2</c:f>
            </c:strRef>
          </c:cat>
          <c:val>
            <c:numRef>
              <c:f>'P42'!$B$4</c:f>
              <c:numCache>
                <c:formatCode>General</c:formatCode>
                <c:ptCount val="1"/>
                <c:pt idx="0">
                  <c:v>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ABDD-BC44-A928-982A7B5866EB}"/>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Ni de acuerdo ni en desacuerdo</c:v>
          </c:tx>
          <c:spPr>
            <a:solidFill>
              <a:srgbClr val="661081"/>
            </a:solidFill>
            <a:ln>
              <a:solidFill>
                <a:srgbClr val="661081"/>
              </a:solidFill>
              <a:prstDash val="solid"/>
            </a:ln>
          </c:spPr>
          <c:invertIfNegative val="1"/>
          <c:cat>
            <c:strRef>
              <c:f>'P43'!$D$2</c:f>
            </c:strRef>
          </c:cat>
          <c:val>
            <c:numRef>
              <c:f>'P43'!$B$7</c:f>
              <c:numCache>
                <c:formatCode>General</c:formatCode>
                <c:ptCount val="1"/>
                <c:pt idx="0">
                  <c:v>6</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172E-B44D-BB8B-C4B9C8BA602C}"/>
            </c:ext>
          </c:extLst>
        </c:ser>
        <c:ser>
          <c:idx val="1"/>
          <c:order val="1"/>
          <c:tx>
            <c:v>Poco de acuerdo</c:v>
          </c:tx>
          <c:spPr>
            <a:solidFill>
              <a:srgbClr val="910581"/>
            </a:solidFill>
            <a:ln>
              <a:solidFill>
                <a:srgbClr val="910581"/>
              </a:solidFill>
              <a:prstDash val="solid"/>
            </a:ln>
          </c:spPr>
          <c:invertIfNegative val="1"/>
          <c:cat>
            <c:strRef>
              <c:f>'P43'!$D$2</c:f>
            </c:strRef>
          </c:cat>
          <c:val>
            <c:numRef>
              <c:f>'P43'!$B$6</c:f>
              <c:numCache>
                <c:formatCode>General</c:formatCode>
                <c:ptCount val="1"/>
                <c:pt idx="0">
                  <c:v>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172E-B44D-BB8B-C4B9C8BA602C}"/>
            </c:ext>
          </c:extLst>
        </c:ser>
        <c:ser>
          <c:idx val="2"/>
          <c:order val="2"/>
          <c:tx>
            <c:v>De acuerdo</c:v>
          </c:tx>
          <c:spPr>
            <a:solidFill>
              <a:srgbClr val="9C095D"/>
            </a:solidFill>
            <a:ln>
              <a:solidFill>
                <a:srgbClr val="9C095D"/>
              </a:solidFill>
              <a:prstDash val="solid"/>
            </a:ln>
          </c:spPr>
          <c:invertIfNegative val="1"/>
          <c:cat>
            <c:strRef>
              <c:f>'P43'!$D$2</c:f>
            </c:strRef>
          </c:cat>
          <c:val>
            <c:numRef>
              <c:f>'P43'!$B$5</c:f>
              <c:numCache>
                <c:formatCode>General</c:formatCode>
                <c:ptCount val="1"/>
                <c:pt idx="0">
                  <c:v>16</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172E-B44D-BB8B-C4B9C8BA602C}"/>
            </c:ext>
          </c:extLst>
        </c:ser>
        <c:ser>
          <c:idx val="3"/>
          <c:order val="3"/>
          <c:tx>
            <c:v>Totalmente de acuerdo</c:v>
          </c:tx>
          <c:spPr>
            <a:solidFill>
              <a:srgbClr val="102D69"/>
            </a:solidFill>
            <a:ln>
              <a:solidFill>
                <a:srgbClr val="102D69"/>
              </a:solidFill>
              <a:prstDash val="solid"/>
            </a:ln>
          </c:spPr>
          <c:invertIfNegative val="1"/>
          <c:cat>
            <c:strRef>
              <c:f>'P43'!$D$2</c:f>
            </c:strRef>
          </c:cat>
          <c:val>
            <c:numRef>
              <c:f>'P43'!$B$4</c:f>
              <c:numCache>
                <c:formatCode>General</c:formatCode>
                <c:ptCount val="1"/>
                <c:pt idx="0">
                  <c:v>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172E-B44D-BB8B-C4B9C8BA602C}"/>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Nada de acuerdo</c:v>
          </c:tx>
          <c:spPr>
            <a:solidFill>
              <a:srgbClr val="661081"/>
            </a:solidFill>
            <a:ln>
              <a:solidFill>
                <a:srgbClr val="661081"/>
              </a:solidFill>
              <a:prstDash val="solid"/>
            </a:ln>
          </c:spPr>
          <c:invertIfNegative val="1"/>
          <c:cat>
            <c:strRef>
              <c:f>'P44'!$D$2</c:f>
            </c:strRef>
          </c:cat>
          <c:val>
            <c:numRef>
              <c:f>'P44'!$B$8</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8453-DC45-B1A8-1B0C90F36626}"/>
            </c:ext>
          </c:extLst>
        </c:ser>
        <c:ser>
          <c:idx val="1"/>
          <c:order val="1"/>
          <c:tx>
            <c:v>Ni de acuerdo ni en desacuerdo</c:v>
          </c:tx>
          <c:spPr>
            <a:solidFill>
              <a:srgbClr val="910581"/>
            </a:solidFill>
            <a:ln>
              <a:solidFill>
                <a:srgbClr val="910581"/>
              </a:solidFill>
              <a:prstDash val="solid"/>
            </a:ln>
          </c:spPr>
          <c:invertIfNegative val="1"/>
          <c:cat>
            <c:strRef>
              <c:f>'P44'!$D$2</c:f>
            </c:strRef>
          </c:cat>
          <c:val>
            <c:numRef>
              <c:f>'P44'!$B$7</c:f>
              <c:numCache>
                <c:formatCode>General</c:formatCode>
                <c:ptCount val="1"/>
                <c:pt idx="0">
                  <c:v>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8453-DC45-B1A8-1B0C90F36626}"/>
            </c:ext>
          </c:extLst>
        </c:ser>
        <c:ser>
          <c:idx val="2"/>
          <c:order val="2"/>
          <c:tx>
            <c:v>Poco de acuerdo</c:v>
          </c:tx>
          <c:spPr>
            <a:solidFill>
              <a:srgbClr val="9C095D"/>
            </a:solidFill>
            <a:ln>
              <a:solidFill>
                <a:srgbClr val="9C095D"/>
              </a:solidFill>
              <a:prstDash val="solid"/>
            </a:ln>
          </c:spPr>
          <c:invertIfNegative val="1"/>
          <c:cat>
            <c:strRef>
              <c:f>'P44'!$D$2</c:f>
            </c:strRef>
          </c:cat>
          <c:val>
            <c:numRef>
              <c:f>'P44'!$B$6</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8453-DC45-B1A8-1B0C90F36626}"/>
            </c:ext>
          </c:extLst>
        </c:ser>
        <c:ser>
          <c:idx val="3"/>
          <c:order val="3"/>
          <c:tx>
            <c:v>De acuerdo</c:v>
          </c:tx>
          <c:spPr>
            <a:solidFill>
              <a:srgbClr val="102D69"/>
            </a:solidFill>
            <a:ln>
              <a:solidFill>
                <a:srgbClr val="102D69"/>
              </a:solidFill>
              <a:prstDash val="solid"/>
            </a:ln>
          </c:spPr>
          <c:invertIfNegative val="1"/>
          <c:cat>
            <c:strRef>
              <c:f>'P44'!$D$2</c:f>
            </c:strRef>
          </c:cat>
          <c:val>
            <c:numRef>
              <c:f>'P44'!$B$5</c:f>
              <c:numCache>
                <c:formatCode>General</c:formatCode>
                <c:ptCount val="1"/>
                <c:pt idx="0">
                  <c:v>13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8453-DC45-B1A8-1B0C90F36626}"/>
            </c:ext>
          </c:extLst>
        </c:ser>
        <c:ser>
          <c:idx val="4"/>
          <c:order val="4"/>
          <c:tx>
            <c:v>Totalmente de acuerdo</c:v>
          </c:tx>
          <c:spPr>
            <a:solidFill>
              <a:srgbClr val="00A0B7"/>
            </a:solidFill>
            <a:ln>
              <a:solidFill>
                <a:srgbClr val="00A0B7"/>
              </a:solidFill>
              <a:prstDash val="solid"/>
            </a:ln>
          </c:spPr>
          <c:invertIfNegative val="1"/>
          <c:cat>
            <c:strRef>
              <c:f>'P44'!$D$2</c:f>
            </c:strRef>
          </c:cat>
          <c:val>
            <c:numRef>
              <c:f>'P44'!$B$4</c:f>
              <c:numCache>
                <c:formatCode>General</c:formatCode>
                <c:ptCount val="1"/>
                <c:pt idx="0">
                  <c:v>8</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0A0B7"/>
                    </a:solidFill>
                    <a:prstDash val="solid"/>
                  </a:ln>
                </c14:spPr>
              </c14:invertSolidFillFmt>
            </c:ext>
            <c:ext xmlns:c16="http://schemas.microsoft.com/office/drawing/2014/chart" uri="{C3380CC4-5D6E-409C-BE32-E72D297353CC}">
              <c16:uniqueId val="{00000004-8453-DC45-B1A8-1B0C90F36626}"/>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No</c:v>
          </c:tx>
          <c:spPr>
            <a:solidFill>
              <a:srgbClr val="661081"/>
            </a:solidFill>
            <a:ln>
              <a:solidFill>
                <a:srgbClr val="661081"/>
              </a:solidFill>
              <a:prstDash val="solid"/>
            </a:ln>
          </c:spPr>
          <c:invertIfNegative val="1"/>
          <c:cat>
            <c:strRef>
              <c:f>'P45'!$D$2</c:f>
            </c:strRef>
          </c:cat>
          <c:val>
            <c:numRef>
              <c:f>'P45'!$B$6</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BA8C-E940-9FB3-F527BDCB699A}"/>
            </c:ext>
          </c:extLst>
        </c:ser>
        <c:ser>
          <c:idx val="1"/>
          <c:order val="1"/>
          <c:tx>
            <c:v>No conozco</c:v>
          </c:tx>
          <c:spPr>
            <a:solidFill>
              <a:srgbClr val="910581"/>
            </a:solidFill>
            <a:ln>
              <a:solidFill>
                <a:srgbClr val="910581"/>
              </a:solidFill>
              <a:prstDash val="solid"/>
            </a:ln>
          </c:spPr>
          <c:invertIfNegative val="1"/>
          <c:cat>
            <c:strRef>
              <c:f>'P45'!$D$2</c:f>
            </c:strRef>
          </c:cat>
          <c:val>
            <c:numRef>
              <c:f>'P45'!$B$5</c:f>
              <c:numCache>
                <c:formatCode>General</c:formatCode>
                <c:ptCount val="1"/>
                <c:pt idx="0">
                  <c:v>9</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BA8C-E940-9FB3-F527BDCB699A}"/>
            </c:ext>
          </c:extLst>
        </c:ser>
        <c:ser>
          <c:idx val="2"/>
          <c:order val="2"/>
          <c:tx>
            <c:v>Sí</c:v>
          </c:tx>
          <c:spPr>
            <a:solidFill>
              <a:srgbClr val="9C095D"/>
            </a:solidFill>
            <a:ln>
              <a:solidFill>
                <a:srgbClr val="9C095D"/>
              </a:solidFill>
              <a:prstDash val="solid"/>
            </a:ln>
          </c:spPr>
          <c:invertIfNegative val="1"/>
          <c:cat>
            <c:strRef>
              <c:f>'P45'!$D$2</c:f>
            </c:strRef>
          </c:cat>
          <c:val>
            <c:numRef>
              <c:f>'P45'!$B$4</c:f>
              <c:numCache>
                <c:formatCode>General</c:formatCode>
                <c:ptCount val="1"/>
                <c:pt idx="0">
                  <c:v>22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BA8C-E940-9FB3-F527BDCB699A}"/>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No conozco estas colaboraciones</c:v>
          </c:tx>
          <c:spPr>
            <a:solidFill>
              <a:srgbClr val="661081"/>
            </a:solidFill>
            <a:ln>
              <a:solidFill>
                <a:srgbClr val="661081"/>
              </a:solidFill>
              <a:prstDash val="solid"/>
            </a:ln>
          </c:spPr>
          <c:invertIfNegative val="1"/>
          <c:cat>
            <c:strRef>
              <c:f>'P46'!$D$2</c:f>
            </c:strRef>
          </c:cat>
          <c:val>
            <c:numRef>
              <c:f>'P46'!$B$5</c:f>
              <c:numCache>
                <c:formatCode>General</c:formatCode>
                <c:ptCount val="1"/>
                <c:pt idx="0">
                  <c:v>10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542E-944B-A9E6-1C1C46E78DF6}"/>
            </c:ext>
          </c:extLst>
        </c:ser>
        <c:ser>
          <c:idx val="1"/>
          <c:order val="1"/>
          <c:tx>
            <c:v>Positiva</c:v>
          </c:tx>
          <c:spPr>
            <a:solidFill>
              <a:srgbClr val="910581"/>
            </a:solidFill>
            <a:ln>
              <a:solidFill>
                <a:srgbClr val="910581"/>
              </a:solidFill>
              <a:prstDash val="solid"/>
            </a:ln>
          </c:spPr>
          <c:invertIfNegative val="1"/>
          <c:cat>
            <c:strRef>
              <c:f>'P46'!$D$2</c:f>
            </c:strRef>
          </c:cat>
          <c:val>
            <c:numRef>
              <c:f>'P46'!$B$4</c:f>
              <c:numCache>
                <c:formatCode>General</c:formatCode>
                <c:ptCount val="1"/>
                <c:pt idx="0">
                  <c:v>22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542E-944B-A9E6-1C1C46E78DF6}"/>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No</c:v>
          </c:tx>
          <c:spPr>
            <a:solidFill>
              <a:srgbClr val="661081"/>
            </a:solidFill>
            <a:ln>
              <a:solidFill>
                <a:srgbClr val="661081"/>
              </a:solidFill>
              <a:prstDash val="solid"/>
            </a:ln>
          </c:spPr>
          <c:invertIfNegative val="1"/>
          <c:cat>
            <c:strRef>
              <c:f>'P47'!$D$2</c:f>
            </c:strRef>
          </c:cat>
          <c:val>
            <c:numRef>
              <c:f>'P47'!$B$6</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DF72-474C-9D44-B9EE36A63A70}"/>
            </c:ext>
          </c:extLst>
        </c:ser>
        <c:ser>
          <c:idx val="1"/>
          <c:order val="1"/>
          <c:tx>
            <c:v>No conozco las políticas de internacionalización del programa</c:v>
          </c:tx>
          <c:spPr>
            <a:solidFill>
              <a:srgbClr val="910581"/>
            </a:solidFill>
            <a:ln>
              <a:solidFill>
                <a:srgbClr val="910581"/>
              </a:solidFill>
              <a:prstDash val="solid"/>
            </a:ln>
          </c:spPr>
          <c:invertIfNegative val="1"/>
          <c:cat>
            <c:strRef>
              <c:f>'P47'!$D$2</c:f>
            </c:strRef>
          </c:cat>
          <c:val>
            <c:numRef>
              <c:f>'P47'!$B$5</c:f>
              <c:numCache>
                <c:formatCode>General</c:formatCode>
                <c:ptCount val="1"/>
                <c:pt idx="0">
                  <c:v>14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DF72-474C-9D44-B9EE36A63A70}"/>
            </c:ext>
          </c:extLst>
        </c:ser>
        <c:ser>
          <c:idx val="2"/>
          <c:order val="2"/>
          <c:tx>
            <c:v>Sí</c:v>
          </c:tx>
          <c:spPr>
            <a:solidFill>
              <a:srgbClr val="9C095D"/>
            </a:solidFill>
            <a:ln>
              <a:solidFill>
                <a:srgbClr val="9C095D"/>
              </a:solidFill>
              <a:prstDash val="solid"/>
            </a:ln>
          </c:spPr>
          <c:invertIfNegative val="1"/>
          <c:cat>
            <c:strRef>
              <c:f>'P47'!$D$2</c:f>
            </c:strRef>
          </c:cat>
          <c:val>
            <c:numRef>
              <c:f>'P47'!$B$4</c:f>
              <c:numCache>
                <c:formatCode>General</c:formatCode>
                <c:ptCount val="1"/>
                <c:pt idx="0">
                  <c:v>16</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DF72-474C-9D44-B9EE36A63A70}"/>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No</c:v>
          </c:tx>
          <c:spPr>
            <a:solidFill>
              <a:srgbClr val="661081"/>
            </a:solidFill>
            <a:ln>
              <a:solidFill>
                <a:srgbClr val="661081"/>
              </a:solidFill>
              <a:prstDash val="solid"/>
            </a:ln>
          </c:spPr>
          <c:invertIfNegative val="1"/>
          <c:cat>
            <c:strRef>
              <c:f>'P48'!$D$2</c:f>
            </c:strRef>
          </c:cat>
          <c:val>
            <c:numRef>
              <c:f>'P48'!$B$6</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240E-D944-8359-5C38BEF16E9B}"/>
            </c:ext>
          </c:extLst>
        </c:ser>
        <c:ser>
          <c:idx val="1"/>
          <c:order val="1"/>
          <c:tx>
            <c:v>No conozco las políticas de internacionalización del programa</c:v>
          </c:tx>
          <c:spPr>
            <a:solidFill>
              <a:srgbClr val="910581"/>
            </a:solidFill>
            <a:ln>
              <a:solidFill>
                <a:srgbClr val="910581"/>
              </a:solidFill>
              <a:prstDash val="solid"/>
            </a:ln>
          </c:spPr>
          <c:invertIfNegative val="1"/>
          <c:cat>
            <c:strRef>
              <c:f>'P48'!$D$2</c:f>
            </c:strRef>
          </c:cat>
          <c:val>
            <c:numRef>
              <c:f>'P48'!$B$5</c:f>
              <c:numCache>
                <c:formatCode>General</c:formatCode>
                <c:ptCount val="1"/>
                <c:pt idx="0">
                  <c:v>14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240E-D944-8359-5C38BEF16E9B}"/>
            </c:ext>
          </c:extLst>
        </c:ser>
        <c:ser>
          <c:idx val="2"/>
          <c:order val="2"/>
          <c:tx>
            <c:v>Sí</c:v>
          </c:tx>
          <c:spPr>
            <a:solidFill>
              <a:srgbClr val="9C095D"/>
            </a:solidFill>
            <a:ln>
              <a:solidFill>
                <a:srgbClr val="9C095D"/>
              </a:solidFill>
              <a:prstDash val="solid"/>
            </a:ln>
          </c:spPr>
          <c:invertIfNegative val="1"/>
          <c:cat>
            <c:strRef>
              <c:f>'P48'!$D$2</c:f>
            </c:strRef>
          </c:cat>
          <c:val>
            <c:numRef>
              <c:f>'P48'!$B$4</c:f>
              <c:numCache>
                <c:formatCode>General</c:formatCode>
                <c:ptCount val="1"/>
                <c:pt idx="0">
                  <c:v>16</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240E-D944-8359-5C38BEF16E9B}"/>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No</c:v>
          </c:tx>
          <c:spPr>
            <a:solidFill>
              <a:srgbClr val="661081"/>
            </a:solidFill>
            <a:ln>
              <a:solidFill>
                <a:srgbClr val="661081"/>
              </a:solidFill>
              <a:prstDash val="solid"/>
            </a:ln>
          </c:spPr>
          <c:invertIfNegative val="1"/>
          <c:cat>
            <c:strRef>
              <c:f>'P49'!$D$2</c:f>
            </c:strRef>
          </c:cat>
          <c:val>
            <c:numRef>
              <c:f>'P49'!$B$6</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D4CE-0649-A45D-E1A4BAA76A7C}"/>
            </c:ext>
          </c:extLst>
        </c:ser>
        <c:ser>
          <c:idx val="1"/>
          <c:order val="1"/>
          <c:tx>
            <c:v>No conozco las políticas de cooperación del programa</c:v>
          </c:tx>
          <c:spPr>
            <a:solidFill>
              <a:srgbClr val="910581"/>
            </a:solidFill>
            <a:ln>
              <a:solidFill>
                <a:srgbClr val="910581"/>
              </a:solidFill>
              <a:prstDash val="solid"/>
            </a:ln>
          </c:spPr>
          <c:invertIfNegative val="1"/>
          <c:cat>
            <c:strRef>
              <c:f>'P49'!$D$2</c:f>
            </c:strRef>
          </c:cat>
          <c:val>
            <c:numRef>
              <c:f>'P49'!$B$5</c:f>
              <c:numCache>
                <c:formatCode>General</c:formatCode>
                <c:ptCount val="1"/>
                <c:pt idx="0">
                  <c:v>10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D4CE-0649-A45D-E1A4BAA76A7C}"/>
            </c:ext>
          </c:extLst>
        </c:ser>
        <c:ser>
          <c:idx val="2"/>
          <c:order val="2"/>
          <c:tx>
            <c:v>Sí</c:v>
          </c:tx>
          <c:spPr>
            <a:solidFill>
              <a:srgbClr val="9C095D"/>
            </a:solidFill>
            <a:ln>
              <a:solidFill>
                <a:srgbClr val="9C095D"/>
              </a:solidFill>
              <a:prstDash val="solid"/>
            </a:ln>
          </c:spPr>
          <c:invertIfNegative val="1"/>
          <c:cat>
            <c:strRef>
              <c:f>'P49'!$D$2</c:f>
            </c:strRef>
          </c:cat>
          <c:val>
            <c:numRef>
              <c:f>'P49'!$B$4</c:f>
              <c:numCache>
                <c:formatCode>General</c:formatCode>
                <c:ptCount val="1"/>
                <c:pt idx="0">
                  <c:v>21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D4CE-0649-A45D-E1A4BAA76A7C}"/>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Totalmente en desacuerdo</c:v>
          </c:tx>
          <c:spPr>
            <a:solidFill>
              <a:srgbClr val="661081"/>
            </a:solidFill>
            <a:ln>
              <a:solidFill>
                <a:srgbClr val="661081"/>
              </a:solidFill>
              <a:prstDash val="solid"/>
            </a:ln>
          </c:spPr>
          <c:invertIfNegative val="1"/>
          <c:cat>
            <c:strRef>
              <c:f>'P50'!$D$2</c:f>
            </c:strRef>
          </c:cat>
          <c:val>
            <c:numRef>
              <c:f>'P50'!$B$7</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D579-C24D-8D23-E957E45A355E}"/>
            </c:ext>
          </c:extLst>
        </c:ser>
        <c:ser>
          <c:idx val="1"/>
          <c:order val="1"/>
          <c:tx>
            <c:v>Ni de acuerdo ni en desacuerdo</c:v>
          </c:tx>
          <c:spPr>
            <a:solidFill>
              <a:srgbClr val="910581"/>
            </a:solidFill>
            <a:ln>
              <a:solidFill>
                <a:srgbClr val="910581"/>
              </a:solidFill>
              <a:prstDash val="solid"/>
            </a:ln>
          </c:spPr>
          <c:invertIfNegative val="1"/>
          <c:cat>
            <c:strRef>
              <c:f>'P50'!$D$2</c:f>
            </c:strRef>
          </c:cat>
          <c:val>
            <c:numRef>
              <c:f>'P50'!$B$6</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D579-C24D-8D23-E957E45A355E}"/>
            </c:ext>
          </c:extLst>
        </c:ser>
        <c:ser>
          <c:idx val="2"/>
          <c:order val="2"/>
          <c:tx>
            <c:v>De acuerdo</c:v>
          </c:tx>
          <c:spPr>
            <a:solidFill>
              <a:srgbClr val="9C095D"/>
            </a:solidFill>
            <a:ln>
              <a:solidFill>
                <a:srgbClr val="9C095D"/>
              </a:solidFill>
              <a:prstDash val="solid"/>
            </a:ln>
          </c:spPr>
          <c:invertIfNegative val="1"/>
          <c:cat>
            <c:strRef>
              <c:f>'P50'!$D$2</c:f>
            </c:strRef>
          </c:cat>
          <c:val>
            <c:numRef>
              <c:f>'P50'!$B$5</c:f>
              <c:numCache>
                <c:formatCode>General</c:formatCode>
                <c:ptCount val="1"/>
                <c:pt idx="0">
                  <c:v>17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D579-C24D-8D23-E957E45A355E}"/>
            </c:ext>
          </c:extLst>
        </c:ser>
        <c:ser>
          <c:idx val="3"/>
          <c:order val="3"/>
          <c:tx>
            <c:v>Totalmente de acuerdo</c:v>
          </c:tx>
          <c:spPr>
            <a:solidFill>
              <a:srgbClr val="102D69"/>
            </a:solidFill>
            <a:ln>
              <a:solidFill>
                <a:srgbClr val="102D69"/>
              </a:solidFill>
              <a:prstDash val="solid"/>
            </a:ln>
          </c:spPr>
          <c:invertIfNegative val="1"/>
          <c:cat>
            <c:strRef>
              <c:f>'P50'!$D$2</c:f>
            </c:strRef>
          </c:cat>
          <c:val>
            <c:numRef>
              <c:f>'P50'!$B$4</c:f>
              <c:numCache>
                <c:formatCode>General</c:formatCode>
                <c:ptCount val="1"/>
                <c:pt idx="0">
                  <c:v>12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D579-C24D-8D23-E957E45A355E}"/>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Totalmente en desacuerdo</c:v>
          </c:tx>
          <c:spPr>
            <a:solidFill>
              <a:srgbClr val="661081"/>
            </a:solidFill>
            <a:ln>
              <a:solidFill>
                <a:srgbClr val="661081"/>
              </a:solidFill>
              <a:prstDash val="solid"/>
            </a:ln>
          </c:spPr>
          <c:invertIfNegative val="1"/>
          <c:cat>
            <c:strRef>
              <c:f>'P51'!$D$2</c:f>
            </c:strRef>
          </c:cat>
          <c:val>
            <c:numRef>
              <c:f>'P51'!$B$8</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01EC-EB4F-AA9F-7AD37FAA9E69}"/>
            </c:ext>
          </c:extLst>
        </c:ser>
        <c:ser>
          <c:idx val="1"/>
          <c:order val="1"/>
          <c:tx>
            <c:v>En desacuerdo</c:v>
          </c:tx>
          <c:spPr>
            <a:solidFill>
              <a:srgbClr val="910581"/>
            </a:solidFill>
            <a:ln>
              <a:solidFill>
                <a:srgbClr val="910581"/>
              </a:solidFill>
              <a:prstDash val="solid"/>
            </a:ln>
          </c:spPr>
          <c:invertIfNegative val="1"/>
          <c:cat>
            <c:strRef>
              <c:f>'P51'!$D$2</c:f>
            </c:strRef>
          </c:cat>
          <c:val>
            <c:numRef>
              <c:f>'P51'!$B$7</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01EC-EB4F-AA9F-7AD37FAA9E69}"/>
            </c:ext>
          </c:extLst>
        </c:ser>
        <c:ser>
          <c:idx val="2"/>
          <c:order val="2"/>
          <c:tx>
            <c:v>Ni de acuerdo ni en desacuerdo</c:v>
          </c:tx>
          <c:spPr>
            <a:solidFill>
              <a:srgbClr val="9C095D"/>
            </a:solidFill>
            <a:ln>
              <a:solidFill>
                <a:srgbClr val="9C095D"/>
              </a:solidFill>
              <a:prstDash val="solid"/>
            </a:ln>
          </c:spPr>
          <c:invertIfNegative val="1"/>
          <c:cat>
            <c:strRef>
              <c:f>'P51'!$D$2</c:f>
            </c:strRef>
          </c:cat>
          <c:val>
            <c:numRef>
              <c:f>'P51'!$B$6</c:f>
              <c:numCache>
                <c:formatCode>General</c:formatCode>
                <c:ptCount val="1"/>
                <c:pt idx="0">
                  <c:v>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01EC-EB4F-AA9F-7AD37FAA9E69}"/>
            </c:ext>
          </c:extLst>
        </c:ser>
        <c:ser>
          <c:idx val="3"/>
          <c:order val="3"/>
          <c:tx>
            <c:v>De acuerdo</c:v>
          </c:tx>
          <c:spPr>
            <a:solidFill>
              <a:srgbClr val="102D69"/>
            </a:solidFill>
            <a:ln>
              <a:solidFill>
                <a:srgbClr val="102D69"/>
              </a:solidFill>
              <a:prstDash val="solid"/>
            </a:ln>
          </c:spPr>
          <c:invertIfNegative val="1"/>
          <c:cat>
            <c:strRef>
              <c:f>'P51'!$D$2</c:f>
            </c:strRef>
          </c:cat>
          <c:val>
            <c:numRef>
              <c:f>'P51'!$B$5</c:f>
              <c:numCache>
                <c:formatCode>General</c:formatCode>
                <c:ptCount val="1"/>
                <c:pt idx="0">
                  <c:v>16</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01EC-EB4F-AA9F-7AD37FAA9E69}"/>
            </c:ext>
          </c:extLst>
        </c:ser>
        <c:ser>
          <c:idx val="4"/>
          <c:order val="4"/>
          <c:tx>
            <c:v>Totalmente de acuerdo</c:v>
          </c:tx>
          <c:spPr>
            <a:solidFill>
              <a:srgbClr val="00A0B7"/>
            </a:solidFill>
            <a:ln>
              <a:solidFill>
                <a:srgbClr val="00A0B7"/>
              </a:solidFill>
              <a:prstDash val="solid"/>
            </a:ln>
          </c:spPr>
          <c:invertIfNegative val="1"/>
          <c:cat>
            <c:strRef>
              <c:f>'P51'!$D$2</c:f>
            </c:strRef>
          </c:cat>
          <c:val>
            <c:numRef>
              <c:f>'P51'!$B$4</c:f>
              <c:numCache>
                <c:formatCode>General</c:formatCode>
                <c:ptCount val="1"/>
                <c:pt idx="0">
                  <c:v>10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0A0B7"/>
                    </a:solidFill>
                    <a:prstDash val="solid"/>
                  </a:ln>
                </c14:spPr>
              </c14:invertSolidFillFmt>
            </c:ext>
            <c:ext xmlns:c16="http://schemas.microsoft.com/office/drawing/2014/chart" uri="{C3380CC4-5D6E-409C-BE32-E72D297353CC}">
              <c16:uniqueId val="{00000004-01EC-EB4F-AA9F-7AD37FAA9E69}"/>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Totalmente en desacuerdo</c:v>
          </c:tx>
          <c:spPr>
            <a:solidFill>
              <a:srgbClr val="661081"/>
            </a:solidFill>
            <a:ln>
              <a:solidFill>
                <a:srgbClr val="661081"/>
              </a:solidFill>
              <a:prstDash val="solid"/>
            </a:ln>
          </c:spPr>
          <c:invertIfNegative val="1"/>
          <c:cat>
            <c:strRef>
              <c:f>'P52'!$D$2</c:f>
            </c:strRef>
          </c:cat>
          <c:val>
            <c:numRef>
              <c:f>'P52'!$B$8</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2FEF-234E-9F7B-FE2F9AB064BD}"/>
            </c:ext>
          </c:extLst>
        </c:ser>
        <c:ser>
          <c:idx val="1"/>
          <c:order val="1"/>
          <c:tx>
            <c:v>En desacuerdo</c:v>
          </c:tx>
          <c:spPr>
            <a:solidFill>
              <a:srgbClr val="910581"/>
            </a:solidFill>
            <a:ln>
              <a:solidFill>
                <a:srgbClr val="910581"/>
              </a:solidFill>
              <a:prstDash val="solid"/>
            </a:ln>
          </c:spPr>
          <c:invertIfNegative val="1"/>
          <c:cat>
            <c:strRef>
              <c:f>'P52'!$D$2</c:f>
            </c:strRef>
          </c:cat>
          <c:val>
            <c:numRef>
              <c:f>'P52'!$B$7</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2FEF-234E-9F7B-FE2F9AB064BD}"/>
            </c:ext>
          </c:extLst>
        </c:ser>
        <c:ser>
          <c:idx val="2"/>
          <c:order val="2"/>
          <c:tx>
            <c:v>Ni de acuerdo ni en desacuerdo</c:v>
          </c:tx>
          <c:spPr>
            <a:solidFill>
              <a:srgbClr val="9C095D"/>
            </a:solidFill>
            <a:ln>
              <a:solidFill>
                <a:srgbClr val="9C095D"/>
              </a:solidFill>
              <a:prstDash val="solid"/>
            </a:ln>
          </c:spPr>
          <c:invertIfNegative val="1"/>
          <c:cat>
            <c:strRef>
              <c:f>'P52'!$D$2</c:f>
            </c:strRef>
          </c:cat>
          <c:val>
            <c:numRef>
              <c:f>'P52'!$B$6</c:f>
              <c:numCache>
                <c:formatCode>General</c:formatCode>
                <c:ptCount val="1"/>
                <c:pt idx="0">
                  <c:v>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2FEF-234E-9F7B-FE2F9AB064BD}"/>
            </c:ext>
          </c:extLst>
        </c:ser>
        <c:ser>
          <c:idx val="3"/>
          <c:order val="3"/>
          <c:tx>
            <c:v>De acuerdo</c:v>
          </c:tx>
          <c:spPr>
            <a:solidFill>
              <a:srgbClr val="102D69"/>
            </a:solidFill>
            <a:ln>
              <a:solidFill>
                <a:srgbClr val="102D69"/>
              </a:solidFill>
              <a:prstDash val="solid"/>
            </a:ln>
          </c:spPr>
          <c:invertIfNegative val="1"/>
          <c:cat>
            <c:strRef>
              <c:f>'P52'!$D$2</c:f>
            </c:strRef>
          </c:cat>
          <c:val>
            <c:numRef>
              <c:f>'P52'!$B$5</c:f>
              <c:numCache>
                <c:formatCode>General</c:formatCode>
                <c:ptCount val="1"/>
                <c:pt idx="0">
                  <c:v>17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2FEF-234E-9F7B-FE2F9AB064BD}"/>
            </c:ext>
          </c:extLst>
        </c:ser>
        <c:ser>
          <c:idx val="4"/>
          <c:order val="4"/>
          <c:tx>
            <c:v>Totalmente de acuerdo</c:v>
          </c:tx>
          <c:spPr>
            <a:solidFill>
              <a:srgbClr val="00A0B7"/>
            </a:solidFill>
            <a:ln>
              <a:solidFill>
                <a:srgbClr val="00A0B7"/>
              </a:solidFill>
              <a:prstDash val="solid"/>
            </a:ln>
          </c:spPr>
          <c:invertIfNegative val="1"/>
          <c:cat>
            <c:strRef>
              <c:f>'P52'!$D$2</c:f>
            </c:strRef>
          </c:cat>
          <c:val>
            <c:numRef>
              <c:f>'P52'!$B$4</c:f>
              <c:numCache>
                <c:formatCode>General</c:formatCode>
                <c:ptCount val="1"/>
                <c:pt idx="0">
                  <c:v>9</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0A0B7"/>
                    </a:solidFill>
                    <a:prstDash val="solid"/>
                  </a:ln>
                </c14:spPr>
              </c14:invertSolidFillFmt>
            </c:ext>
            <c:ext xmlns:c16="http://schemas.microsoft.com/office/drawing/2014/chart" uri="{C3380CC4-5D6E-409C-BE32-E72D297353CC}">
              <c16:uniqueId val="{00000004-2FEF-234E-9F7B-FE2F9AB064BD}"/>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Totalmente en desacuerdo</c:v>
          </c:tx>
          <c:spPr>
            <a:solidFill>
              <a:srgbClr val="661081"/>
            </a:solidFill>
            <a:ln>
              <a:solidFill>
                <a:srgbClr val="661081"/>
              </a:solidFill>
              <a:prstDash val="solid"/>
            </a:ln>
          </c:spPr>
          <c:invertIfNegative val="1"/>
          <c:cat>
            <c:strRef>
              <c:f>'P53'!$D$2</c:f>
            </c:strRef>
          </c:cat>
          <c:val>
            <c:numRef>
              <c:f>'P53'!$B$8</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CA3B-2F4E-A90A-D93A957D49B0}"/>
            </c:ext>
          </c:extLst>
        </c:ser>
        <c:ser>
          <c:idx val="1"/>
          <c:order val="1"/>
          <c:tx>
            <c:v>En desacuerdo</c:v>
          </c:tx>
          <c:spPr>
            <a:solidFill>
              <a:srgbClr val="910581"/>
            </a:solidFill>
            <a:ln>
              <a:solidFill>
                <a:srgbClr val="910581"/>
              </a:solidFill>
              <a:prstDash val="solid"/>
            </a:ln>
          </c:spPr>
          <c:invertIfNegative val="1"/>
          <c:cat>
            <c:strRef>
              <c:f>'P53'!$D$2</c:f>
            </c:strRef>
          </c:cat>
          <c:val>
            <c:numRef>
              <c:f>'P53'!$B$7</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CA3B-2F4E-A90A-D93A957D49B0}"/>
            </c:ext>
          </c:extLst>
        </c:ser>
        <c:ser>
          <c:idx val="2"/>
          <c:order val="2"/>
          <c:tx>
            <c:v>Ni de acuerdo ni en desacuerdo</c:v>
          </c:tx>
          <c:spPr>
            <a:solidFill>
              <a:srgbClr val="9C095D"/>
            </a:solidFill>
            <a:ln>
              <a:solidFill>
                <a:srgbClr val="9C095D"/>
              </a:solidFill>
              <a:prstDash val="solid"/>
            </a:ln>
          </c:spPr>
          <c:invertIfNegative val="1"/>
          <c:cat>
            <c:strRef>
              <c:f>'P53'!$D$2</c:f>
            </c:strRef>
          </c:cat>
          <c:val>
            <c:numRef>
              <c:f>'P53'!$B$6</c:f>
              <c:numCache>
                <c:formatCode>General</c:formatCode>
                <c:ptCount val="1"/>
                <c:pt idx="0">
                  <c:v>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CA3B-2F4E-A90A-D93A957D49B0}"/>
            </c:ext>
          </c:extLst>
        </c:ser>
        <c:ser>
          <c:idx val="3"/>
          <c:order val="3"/>
          <c:tx>
            <c:v>De acuerdo</c:v>
          </c:tx>
          <c:spPr>
            <a:solidFill>
              <a:srgbClr val="102D69"/>
            </a:solidFill>
            <a:ln>
              <a:solidFill>
                <a:srgbClr val="102D69"/>
              </a:solidFill>
              <a:prstDash val="solid"/>
            </a:ln>
          </c:spPr>
          <c:invertIfNegative val="1"/>
          <c:cat>
            <c:strRef>
              <c:f>'P53'!$D$2</c:f>
            </c:strRef>
          </c:cat>
          <c:val>
            <c:numRef>
              <c:f>'P53'!$B$5</c:f>
              <c:numCache>
                <c:formatCode>General</c:formatCode>
                <c:ptCount val="1"/>
                <c:pt idx="0">
                  <c:v>13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CA3B-2F4E-A90A-D93A957D49B0}"/>
            </c:ext>
          </c:extLst>
        </c:ser>
        <c:ser>
          <c:idx val="4"/>
          <c:order val="4"/>
          <c:tx>
            <c:v>Totalmente de acuerdo</c:v>
          </c:tx>
          <c:spPr>
            <a:solidFill>
              <a:srgbClr val="00A0B7"/>
            </a:solidFill>
            <a:ln>
              <a:solidFill>
                <a:srgbClr val="00A0B7"/>
              </a:solidFill>
              <a:prstDash val="solid"/>
            </a:ln>
          </c:spPr>
          <c:invertIfNegative val="1"/>
          <c:cat>
            <c:strRef>
              <c:f>'P53'!$D$2</c:f>
            </c:strRef>
          </c:cat>
          <c:val>
            <c:numRef>
              <c:f>'P53'!$B$4</c:f>
              <c:numCache>
                <c:formatCode>General</c:formatCode>
                <c:ptCount val="1"/>
                <c:pt idx="0">
                  <c:v>13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0A0B7"/>
                    </a:solidFill>
                    <a:prstDash val="solid"/>
                  </a:ln>
                </c14:spPr>
              </c14:invertSolidFillFmt>
            </c:ext>
            <c:ext xmlns:c16="http://schemas.microsoft.com/office/drawing/2014/chart" uri="{C3380CC4-5D6E-409C-BE32-E72D297353CC}">
              <c16:uniqueId val="{00000004-CA3B-2F4E-A90A-D93A957D49B0}"/>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Totalmente en desacuerdo</c:v>
          </c:tx>
          <c:spPr>
            <a:solidFill>
              <a:srgbClr val="661081"/>
            </a:solidFill>
            <a:ln>
              <a:solidFill>
                <a:srgbClr val="661081"/>
              </a:solidFill>
              <a:prstDash val="solid"/>
            </a:ln>
          </c:spPr>
          <c:invertIfNegative val="1"/>
          <c:cat>
            <c:strRef>
              <c:f>'P54'!$D$2</c:f>
            </c:strRef>
          </c:cat>
          <c:val>
            <c:numRef>
              <c:f>'P54'!$B$8</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C504-3F45-8844-F61F5AE66A43}"/>
            </c:ext>
          </c:extLst>
        </c:ser>
        <c:ser>
          <c:idx val="1"/>
          <c:order val="1"/>
          <c:tx>
            <c:v>En desacuerdo</c:v>
          </c:tx>
          <c:spPr>
            <a:solidFill>
              <a:srgbClr val="910581"/>
            </a:solidFill>
            <a:ln>
              <a:solidFill>
                <a:srgbClr val="910581"/>
              </a:solidFill>
              <a:prstDash val="solid"/>
            </a:ln>
          </c:spPr>
          <c:invertIfNegative val="1"/>
          <c:cat>
            <c:strRef>
              <c:f>'P54'!$D$2</c:f>
            </c:strRef>
          </c:cat>
          <c:val>
            <c:numRef>
              <c:f>'P54'!$B$7</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C504-3F45-8844-F61F5AE66A43}"/>
            </c:ext>
          </c:extLst>
        </c:ser>
        <c:ser>
          <c:idx val="2"/>
          <c:order val="2"/>
          <c:tx>
            <c:v>Ni de acuerdo ni en desacuerdo</c:v>
          </c:tx>
          <c:spPr>
            <a:solidFill>
              <a:srgbClr val="9C095D"/>
            </a:solidFill>
            <a:ln>
              <a:solidFill>
                <a:srgbClr val="9C095D"/>
              </a:solidFill>
              <a:prstDash val="solid"/>
            </a:ln>
          </c:spPr>
          <c:invertIfNegative val="1"/>
          <c:cat>
            <c:strRef>
              <c:f>'P54'!$D$2</c:f>
            </c:strRef>
          </c:cat>
          <c:val>
            <c:numRef>
              <c:f>'P54'!$B$6</c:f>
              <c:numCache>
                <c:formatCode>General</c:formatCode>
                <c:ptCount val="1"/>
                <c:pt idx="0">
                  <c:v>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C504-3F45-8844-F61F5AE66A43}"/>
            </c:ext>
          </c:extLst>
        </c:ser>
        <c:ser>
          <c:idx val="3"/>
          <c:order val="3"/>
          <c:tx>
            <c:v>De acuerdo</c:v>
          </c:tx>
          <c:spPr>
            <a:solidFill>
              <a:srgbClr val="102D69"/>
            </a:solidFill>
            <a:ln>
              <a:solidFill>
                <a:srgbClr val="102D69"/>
              </a:solidFill>
              <a:prstDash val="solid"/>
            </a:ln>
          </c:spPr>
          <c:invertIfNegative val="1"/>
          <c:cat>
            <c:strRef>
              <c:f>'P54'!$D$2</c:f>
            </c:strRef>
          </c:cat>
          <c:val>
            <c:numRef>
              <c:f>'P54'!$B$5</c:f>
              <c:numCache>
                <c:formatCode>General</c:formatCode>
                <c:ptCount val="1"/>
                <c:pt idx="0">
                  <c:v>13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C504-3F45-8844-F61F5AE66A43}"/>
            </c:ext>
          </c:extLst>
        </c:ser>
        <c:ser>
          <c:idx val="4"/>
          <c:order val="4"/>
          <c:tx>
            <c:v>Totalmente de acuerdo</c:v>
          </c:tx>
          <c:spPr>
            <a:solidFill>
              <a:srgbClr val="00A0B7"/>
            </a:solidFill>
            <a:ln>
              <a:solidFill>
                <a:srgbClr val="00A0B7"/>
              </a:solidFill>
              <a:prstDash val="solid"/>
            </a:ln>
          </c:spPr>
          <c:invertIfNegative val="1"/>
          <c:cat>
            <c:strRef>
              <c:f>'P54'!$D$2</c:f>
            </c:strRef>
          </c:cat>
          <c:val>
            <c:numRef>
              <c:f>'P54'!$B$4</c:f>
              <c:numCache>
                <c:formatCode>General</c:formatCode>
                <c:ptCount val="1"/>
                <c:pt idx="0">
                  <c:v>12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0A0B7"/>
                    </a:solidFill>
                    <a:prstDash val="solid"/>
                  </a:ln>
                </c14:spPr>
              </c14:invertSolidFillFmt>
            </c:ext>
            <c:ext xmlns:c16="http://schemas.microsoft.com/office/drawing/2014/chart" uri="{C3380CC4-5D6E-409C-BE32-E72D297353CC}">
              <c16:uniqueId val="{00000004-C504-3F45-8844-F61F5AE66A43}"/>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Totalmente en desacuerdo</c:v>
          </c:tx>
          <c:spPr>
            <a:solidFill>
              <a:srgbClr val="661081"/>
            </a:solidFill>
            <a:ln>
              <a:solidFill>
                <a:srgbClr val="661081"/>
              </a:solidFill>
              <a:prstDash val="solid"/>
            </a:ln>
          </c:spPr>
          <c:invertIfNegative val="1"/>
          <c:cat>
            <c:strRef>
              <c:f>'P55'!$D$2</c:f>
            </c:strRef>
          </c:cat>
          <c:val>
            <c:numRef>
              <c:f>'P55'!$B$8</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2E6D-5F44-B1C8-683E0E2413CB}"/>
            </c:ext>
          </c:extLst>
        </c:ser>
        <c:ser>
          <c:idx val="1"/>
          <c:order val="1"/>
          <c:tx>
            <c:v>En desacuerdo</c:v>
          </c:tx>
          <c:spPr>
            <a:solidFill>
              <a:srgbClr val="910581"/>
            </a:solidFill>
            <a:ln>
              <a:solidFill>
                <a:srgbClr val="910581"/>
              </a:solidFill>
              <a:prstDash val="solid"/>
            </a:ln>
          </c:spPr>
          <c:invertIfNegative val="1"/>
          <c:cat>
            <c:strRef>
              <c:f>'P55'!$D$2</c:f>
            </c:strRef>
          </c:cat>
          <c:val>
            <c:numRef>
              <c:f>'P55'!$B$7</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2E6D-5F44-B1C8-683E0E2413CB}"/>
            </c:ext>
          </c:extLst>
        </c:ser>
        <c:ser>
          <c:idx val="2"/>
          <c:order val="2"/>
          <c:tx>
            <c:v>Ni de acuerdo ni en desacuerdo</c:v>
          </c:tx>
          <c:spPr>
            <a:solidFill>
              <a:srgbClr val="9C095D"/>
            </a:solidFill>
            <a:ln>
              <a:solidFill>
                <a:srgbClr val="9C095D"/>
              </a:solidFill>
              <a:prstDash val="solid"/>
            </a:ln>
          </c:spPr>
          <c:invertIfNegative val="1"/>
          <c:cat>
            <c:strRef>
              <c:f>'P55'!$D$2</c:f>
            </c:strRef>
          </c:cat>
          <c:val>
            <c:numRef>
              <c:f>'P55'!$B$6</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2E6D-5F44-B1C8-683E0E2413CB}"/>
            </c:ext>
          </c:extLst>
        </c:ser>
        <c:ser>
          <c:idx val="3"/>
          <c:order val="3"/>
          <c:tx>
            <c:v>De acuerdo</c:v>
          </c:tx>
          <c:spPr>
            <a:solidFill>
              <a:srgbClr val="102D69"/>
            </a:solidFill>
            <a:ln>
              <a:solidFill>
                <a:srgbClr val="102D69"/>
              </a:solidFill>
              <a:prstDash val="solid"/>
            </a:ln>
          </c:spPr>
          <c:invertIfNegative val="1"/>
          <c:cat>
            <c:strRef>
              <c:f>'P55'!$D$2</c:f>
            </c:strRef>
          </c:cat>
          <c:val>
            <c:numRef>
              <c:f>'P55'!$B$5</c:f>
              <c:numCache>
                <c:formatCode>General</c:formatCode>
                <c:ptCount val="1"/>
                <c:pt idx="0">
                  <c:v>10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2E6D-5F44-B1C8-683E0E2413CB}"/>
            </c:ext>
          </c:extLst>
        </c:ser>
        <c:ser>
          <c:idx val="4"/>
          <c:order val="4"/>
          <c:tx>
            <c:v>Totalmente de acuerdo</c:v>
          </c:tx>
          <c:spPr>
            <a:solidFill>
              <a:srgbClr val="00A0B7"/>
            </a:solidFill>
            <a:ln>
              <a:solidFill>
                <a:srgbClr val="00A0B7"/>
              </a:solidFill>
              <a:prstDash val="solid"/>
            </a:ln>
          </c:spPr>
          <c:invertIfNegative val="1"/>
          <c:cat>
            <c:strRef>
              <c:f>'P55'!$D$2</c:f>
            </c:strRef>
          </c:cat>
          <c:val>
            <c:numRef>
              <c:f>'P55'!$B$4</c:f>
              <c:numCache>
                <c:formatCode>General</c:formatCode>
                <c:ptCount val="1"/>
                <c:pt idx="0">
                  <c:v>18</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0A0B7"/>
                    </a:solidFill>
                    <a:prstDash val="solid"/>
                  </a:ln>
                </c14:spPr>
              </c14:invertSolidFillFmt>
            </c:ext>
            <c:ext xmlns:c16="http://schemas.microsoft.com/office/drawing/2014/chart" uri="{C3380CC4-5D6E-409C-BE32-E72D297353CC}">
              <c16:uniqueId val="{00000004-2E6D-5F44-B1C8-683E0E2413CB}"/>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En desacuerdo</c:v>
          </c:tx>
          <c:spPr>
            <a:solidFill>
              <a:srgbClr val="661081"/>
            </a:solidFill>
            <a:ln>
              <a:solidFill>
                <a:srgbClr val="661081"/>
              </a:solidFill>
              <a:prstDash val="solid"/>
            </a:ln>
          </c:spPr>
          <c:invertIfNegative val="1"/>
          <c:cat>
            <c:strRef>
              <c:f>'P56'!$D$2</c:f>
            </c:strRef>
          </c:cat>
          <c:val>
            <c:numRef>
              <c:f>'P56'!$B$7</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4AFE-F648-8551-73B83E1B66C4}"/>
            </c:ext>
          </c:extLst>
        </c:ser>
        <c:ser>
          <c:idx val="1"/>
          <c:order val="1"/>
          <c:tx>
            <c:v>Ni de acuerdo ni en desacuerdo</c:v>
          </c:tx>
          <c:spPr>
            <a:solidFill>
              <a:srgbClr val="910581"/>
            </a:solidFill>
            <a:ln>
              <a:solidFill>
                <a:srgbClr val="910581"/>
              </a:solidFill>
              <a:prstDash val="solid"/>
            </a:ln>
          </c:spPr>
          <c:invertIfNegative val="1"/>
          <c:cat>
            <c:strRef>
              <c:f>'P56'!$D$2</c:f>
            </c:strRef>
          </c:cat>
          <c:val>
            <c:numRef>
              <c:f>'P56'!$B$6</c:f>
              <c:numCache>
                <c:formatCode>General</c:formatCode>
                <c:ptCount val="1"/>
                <c:pt idx="0">
                  <c:v>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4AFE-F648-8551-73B83E1B66C4}"/>
            </c:ext>
          </c:extLst>
        </c:ser>
        <c:ser>
          <c:idx val="2"/>
          <c:order val="2"/>
          <c:tx>
            <c:v>De acuerdo</c:v>
          </c:tx>
          <c:spPr>
            <a:solidFill>
              <a:srgbClr val="9C095D"/>
            </a:solidFill>
            <a:ln>
              <a:solidFill>
                <a:srgbClr val="9C095D"/>
              </a:solidFill>
              <a:prstDash val="solid"/>
            </a:ln>
          </c:spPr>
          <c:invertIfNegative val="1"/>
          <c:cat>
            <c:strRef>
              <c:f>'P56'!$D$2</c:f>
            </c:strRef>
          </c:cat>
          <c:val>
            <c:numRef>
              <c:f>'P56'!$B$5</c:f>
              <c:numCache>
                <c:formatCode>General</c:formatCode>
                <c:ptCount val="1"/>
                <c:pt idx="0">
                  <c:v>14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4AFE-F648-8551-73B83E1B66C4}"/>
            </c:ext>
          </c:extLst>
        </c:ser>
        <c:ser>
          <c:idx val="3"/>
          <c:order val="3"/>
          <c:tx>
            <c:v>Totalmente de acuerdo</c:v>
          </c:tx>
          <c:spPr>
            <a:solidFill>
              <a:srgbClr val="102D69"/>
            </a:solidFill>
            <a:ln>
              <a:solidFill>
                <a:srgbClr val="102D69"/>
              </a:solidFill>
              <a:prstDash val="solid"/>
            </a:ln>
          </c:spPr>
          <c:invertIfNegative val="1"/>
          <c:cat>
            <c:strRef>
              <c:f>'P56'!$D$2</c:f>
            </c:strRef>
          </c:cat>
          <c:val>
            <c:numRef>
              <c:f>'P56'!$B$4</c:f>
              <c:numCache>
                <c:formatCode>General</c:formatCode>
                <c:ptCount val="1"/>
                <c:pt idx="0">
                  <c:v>14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4AFE-F648-8551-73B83E1B66C4}"/>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Ni de acuerdo ni en desacuerdo</c:v>
          </c:tx>
          <c:spPr>
            <a:solidFill>
              <a:srgbClr val="661081"/>
            </a:solidFill>
            <a:ln>
              <a:solidFill>
                <a:srgbClr val="661081"/>
              </a:solidFill>
              <a:prstDash val="solid"/>
            </a:ln>
          </c:spPr>
          <c:invertIfNegative val="1"/>
          <c:cat>
            <c:strRef>
              <c:f>'P57'!$D$2</c:f>
            </c:strRef>
          </c:cat>
          <c:val>
            <c:numRef>
              <c:f>'P57'!$B$6</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7A9D-D147-843D-83C685ABADF0}"/>
            </c:ext>
          </c:extLst>
        </c:ser>
        <c:ser>
          <c:idx val="1"/>
          <c:order val="1"/>
          <c:tx>
            <c:v>De acuerdo</c:v>
          </c:tx>
          <c:spPr>
            <a:solidFill>
              <a:srgbClr val="910581"/>
            </a:solidFill>
            <a:ln>
              <a:solidFill>
                <a:srgbClr val="910581"/>
              </a:solidFill>
              <a:prstDash val="solid"/>
            </a:ln>
          </c:spPr>
          <c:invertIfNegative val="1"/>
          <c:cat>
            <c:strRef>
              <c:f>'P57'!$D$2</c:f>
            </c:strRef>
          </c:cat>
          <c:val>
            <c:numRef>
              <c:f>'P57'!$B$5</c:f>
              <c:numCache>
                <c:formatCode>General</c:formatCode>
                <c:ptCount val="1"/>
                <c:pt idx="0">
                  <c:v>13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7A9D-D147-843D-83C685ABADF0}"/>
            </c:ext>
          </c:extLst>
        </c:ser>
        <c:ser>
          <c:idx val="2"/>
          <c:order val="2"/>
          <c:tx>
            <c:v>Totalmente de acuerdo</c:v>
          </c:tx>
          <c:spPr>
            <a:solidFill>
              <a:srgbClr val="9C095D"/>
            </a:solidFill>
            <a:ln>
              <a:solidFill>
                <a:srgbClr val="9C095D"/>
              </a:solidFill>
              <a:prstDash val="solid"/>
            </a:ln>
          </c:spPr>
          <c:invertIfNegative val="1"/>
          <c:cat>
            <c:strRef>
              <c:f>'P57'!$D$2</c:f>
            </c:strRef>
          </c:cat>
          <c:val>
            <c:numRef>
              <c:f>'P57'!$B$4</c:f>
              <c:numCache>
                <c:formatCode>General</c:formatCode>
                <c:ptCount val="1"/>
                <c:pt idx="0">
                  <c:v>17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7A9D-D147-843D-83C685ABADF0}"/>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En desacuerdo</c:v>
          </c:tx>
          <c:spPr>
            <a:solidFill>
              <a:srgbClr val="661081"/>
            </a:solidFill>
            <a:ln>
              <a:solidFill>
                <a:srgbClr val="661081"/>
              </a:solidFill>
              <a:prstDash val="solid"/>
            </a:ln>
          </c:spPr>
          <c:invertIfNegative val="1"/>
          <c:cat>
            <c:strRef>
              <c:f>'P58'!$D$2</c:f>
            </c:strRef>
          </c:cat>
          <c:val>
            <c:numRef>
              <c:f>'P58'!$B$7</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6769-764B-A016-B535D388444E}"/>
            </c:ext>
          </c:extLst>
        </c:ser>
        <c:ser>
          <c:idx val="1"/>
          <c:order val="1"/>
          <c:tx>
            <c:v>Ni de acuerdo ni en desacuerdo</c:v>
          </c:tx>
          <c:spPr>
            <a:solidFill>
              <a:srgbClr val="910581"/>
            </a:solidFill>
            <a:ln>
              <a:solidFill>
                <a:srgbClr val="910581"/>
              </a:solidFill>
              <a:prstDash val="solid"/>
            </a:ln>
          </c:spPr>
          <c:invertIfNegative val="1"/>
          <c:cat>
            <c:strRef>
              <c:f>'P58'!$D$2</c:f>
            </c:strRef>
          </c:cat>
          <c:val>
            <c:numRef>
              <c:f>'P58'!$B$6</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6769-764B-A016-B535D388444E}"/>
            </c:ext>
          </c:extLst>
        </c:ser>
        <c:ser>
          <c:idx val="2"/>
          <c:order val="2"/>
          <c:tx>
            <c:v>De acuerdo</c:v>
          </c:tx>
          <c:spPr>
            <a:solidFill>
              <a:srgbClr val="9C095D"/>
            </a:solidFill>
            <a:ln>
              <a:solidFill>
                <a:srgbClr val="9C095D"/>
              </a:solidFill>
              <a:prstDash val="solid"/>
            </a:ln>
          </c:spPr>
          <c:invertIfNegative val="1"/>
          <c:cat>
            <c:strRef>
              <c:f>'P58'!$D$2</c:f>
            </c:strRef>
          </c:cat>
          <c:val>
            <c:numRef>
              <c:f>'P58'!$B$5</c:f>
              <c:numCache>
                <c:formatCode>General</c:formatCode>
                <c:ptCount val="1"/>
                <c:pt idx="0">
                  <c:v>17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6769-764B-A016-B535D388444E}"/>
            </c:ext>
          </c:extLst>
        </c:ser>
        <c:ser>
          <c:idx val="3"/>
          <c:order val="3"/>
          <c:tx>
            <c:v>Totalmente de acuerdo</c:v>
          </c:tx>
          <c:spPr>
            <a:solidFill>
              <a:srgbClr val="102D69"/>
            </a:solidFill>
            <a:ln>
              <a:solidFill>
                <a:srgbClr val="102D69"/>
              </a:solidFill>
              <a:prstDash val="solid"/>
            </a:ln>
          </c:spPr>
          <c:invertIfNegative val="1"/>
          <c:cat>
            <c:strRef>
              <c:f>'P58'!$D$2</c:f>
            </c:strRef>
          </c:cat>
          <c:val>
            <c:numRef>
              <c:f>'P58'!$B$4</c:f>
              <c:numCache>
                <c:formatCode>General</c:formatCode>
                <c:ptCount val="1"/>
                <c:pt idx="0">
                  <c:v>12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02D69"/>
                    </a:solidFill>
                    <a:prstDash val="solid"/>
                  </a:ln>
                </c14:spPr>
              </c14:invertSolidFillFmt>
            </c:ext>
            <c:ext xmlns:c16="http://schemas.microsoft.com/office/drawing/2014/chart" uri="{C3380CC4-5D6E-409C-BE32-E72D297353CC}">
              <c16:uniqueId val="{00000003-6769-764B-A016-B535D388444E}"/>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Distribución de respuestas</a:t>
            </a:r>
          </a:p>
        </c:rich>
      </c:tx>
      <c:overlay val="1"/>
    </c:title>
    <c:autoTitleDeleted val="0"/>
    <c:plotArea>
      <c:layout>
        <c:manualLayout>
          <c:layoutTarget val="inner"/>
          <c:xMode val="edge"/>
          <c:yMode val="edge"/>
          <c:x val="0.16"/>
          <c:y val="0.1152846491228071"/>
          <c:w val="0.84"/>
          <c:h val="0.76"/>
        </c:manualLayout>
      </c:layout>
      <c:barChart>
        <c:barDir val="bar"/>
        <c:grouping val="clustered"/>
        <c:varyColors val="1"/>
        <c:ser>
          <c:idx val="0"/>
          <c:order val="0"/>
          <c:tx>
            <c:v>Ni de acuerdo ni en desacuerdo</c:v>
          </c:tx>
          <c:spPr>
            <a:solidFill>
              <a:srgbClr val="661081"/>
            </a:solidFill>
            <a:ln>
              <a:solidFill>
                <a:srgbClr val="661081"/>
              </a:solidFill>
              <a:prstDash val="solid"/>
            </a:ln>
          </c:spPr>
          <c:invertIfNegative val="1"/>
          <c:cat>
            <c:strRef>
              <c:f>'P59'!$D$2</c:f>
            </c:strRef>
          </c:cat>
          <c:val>
            <c:numRef>
              <c:f>'P59'!$B$6</c:f>
              <c:numCache>
                <c:formatCode>General</c:formatCode>
                <c:ptCount val="1"/>
                <c:pt idx="0">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661081"/>
                    </a:solidFill>
                    <a:prstDash val="solid"/>
                  </a:ln>
                </c14:spPr>
              </c14:invertSolidFillFmt>
            </c:ext>
            <c:ext xmlns:c16="http://schemas.microsoft.com/office/drawing/2014/chart" uri="{C3380CC4-5D6E-409C-BE32-E72D297353CC}">
              <c16:uniqueId val="{00000000-3346-3C4C-B300-B6279975AF9E}"/>
            </c:ext>
          </c:extLst>
        </c:ser>
        <c:ser>
          <c:idx val="1"/>
          <c:order val="1"/>
          <c:tx>
            <c:v>De acuerdo</c:v>
          </c:tx>
          <c:spPr>
            <a:solidFill>
              <a:srgbClr val="910581"/>
            </a:solidFill>
            <a:ln>
              <a:solidFill>
                <a:srgbClr val="910581"/>
              </a:solidFill>
              <a:prstDash val="solid"/>
            </a:ln>
          </c:spPr>
          <c:invertIfNegative val="1"/>
          <c:cat>
            <c:strRef>
              <c:f>'P59'!$D$2</c:f>
            </c:strRef>
          </c:cat>
          <c:val>
            <c:numRef>
              <c:f>'P59'!$B$5</c:f>
              <c:numCache>
                <c:formatCode>General</c:formatCode>
                <c:ptCount val="1"/>
                <c:pt idx="0">
                  <c:v>15</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10581"/>
                    </a:solidFill>
                    <a:prstDash val="solid"/>
                  </a:ln>
                </c14:spPr>
              </c14:invertSolidFillFmt>
            </c:ext>
            <c:ext xmlns:c16="http://schemas.microsoft.com/office/drawing/2014/chart" uri="{C3380CC4-5D6E-409C-BE32-E72D297353CC}">
              <c16:uniqueId val="{00000001-3346-3C4C-B300-B6279975AF9E}"/>
            </c:ext>
          </c:extLst>
        </c:ser>
        <c:ser>
          <c:idx val="2"/>
          <c:order val="2"/>
          <c:tx>
            <c:v>Totalmente de acuerdo</c:v>
          </c:tx>
          <c:spPr>
            <a:solidFill>
              <a:srgbClr val="9C095D"/>
            </a:solidFill>
            <a:ln>
              <a:solidFill>
                <a:srgbClr val="9C095D"/>
              </a:solidFill>
              <a:prstDash val="solid"/>
            </a:ln>
          </c:spPr>
          <c:invertIfNegative val="1"/>
          <c:cat>
            <c:strRef>
              <c:f>'P59'!$D$2</c:f>
            </c:strRef>
          </c:cat>
          <c:val>
            <c:numRef>
              <c:f>'P59'!$B$4</c:f>
              <c:numCache>
                <c:formatCode>General</c:formatCode>
                <c:ptCount val="1"/>
                <c:pt idx="0">
                  <c:v>15</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9C095D"/>
                    </a:solidFill>
                    <a:prstDash val="solid"/>
                  </a:ln>
                </c14:spPr>
              </c14:invertSolidFillFmt>
            </c:ext>
            <c:ext xmlns:c16="http://schemas.microsoft.com/office/drawing/2014/chart" uri="{C3380CC4-5D6E-409C-BE32-E72D297353CC}">
              <c16:uniqueId val="{00000002-3346-3C4C-B300-B6279975AF9E}"/>
            </c:ext>
          </c:extLst>
        </c:ser>
        <c:dLbls>
          <c:showLegendKey val="0"/>
          <c:showVal val="0"/>
          <c:showCatName val="0"/>
          <c:showSerName val="0"/>
          <c:showPercent val="0"/>
          <c:showBubbleSize val="0"/>
        </c:dLbls>
        <c:gapWidth val="90"/>
        <c:overlap val="-25"/>
        <c:axId val="10"/>
        <c:axId val="100"/>
      </c:barChart>
      <c:catAx>
        <c:axId val="10"/>
        <c:scaling>
          <c:orientation val="minMax"/>
        </c:scaling>
        <c:delete val="1"/>
        <c:axPos val="l"/>
        <c:majorTickMark val="none"/>
        <c:minorTickMark val="none"/>
        <c:tickLblPos val="high"/>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52.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53.xml"/></Relationships>
</file>

<file path=xl/drawings/_rels/drawing54.xml.rels><?xml version="1.0" encoding="UTF-8" standalone="yes"?>
<Relationships xmlns="http://schemas.openxmlformats.org/package/2006/relationships"><Relationship Id="rId1" Type="http://schemas.openxmlformats.org/officeDocument/2006/relationships/chart" Target="../charts/chart54.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56.xml.rels><?xml version="1.0" encoding="UTF-8" standalone="yes"?>
<Relationships xmlns="http://schemas.openxmlformats.org/package/2006/relationships"><Relationship Id="rId1" Type="http://schemas.openxmlformats.org/officeDocument/2006/relationships/chart" Target="../charts/chart56.xml"/></Relationships>
</file>

<file path=xl/drawings/drawing1.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8.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9.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0.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1.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2.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3.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4.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5.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6.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7.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8.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9.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0.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1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1.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1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2.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1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3.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1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4.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1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5.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1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6.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1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7.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1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8.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1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9.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2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0.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2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1.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2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2.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2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3.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2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4.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2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5.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2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6.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2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7.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2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8.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2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9.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2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0.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2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1.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2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2.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2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3.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2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4.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2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5.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3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6.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3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7.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3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8.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3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9.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3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0.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3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1.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3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2.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3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3.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3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4.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3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5.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3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6.xml><?xml version="1.0" encoding="utf-8"?>
<xdr:wsDr xmlns:xdr="http://schemas.openxmlformats.org/drawingml/2006/spreadsheetDrawing" xmlns:a="http://schemas.openxmlformats.org/drawingml/2006/main">
  <xdr:oneCellAnchor>
    <xdr:from>
      <xdr:col>4</xdr:col>
      <xdr:colOff>0</xdr:colOff>
      <xdr:row>1</xdr:row>
      <xdr:rowOff>0</xdr:rowOff>
    </xdr:from>
    <xdr:ext cx="6660000" cy="3420000"/>
    <xdr:graphicFrame macro="">
      <xdr:nvGraphicFramePr>
        <xdr:cNvPr id="2" name="Chart 1">
          <a:extLst>
            <a:ext uri="{FF2B5EF4-FFF2-40B4-BE49-F238E27FC236}">
              <a16:creationId xmlns:a16="http://schemas.microsoft.com/office/drawing/2014/main" id="{00000000-0008-0000-3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1"/>
  <sheetViews>
    <sheetView workbookViewId="0"/>
  </sheetViews>
  <sheetFormatPr defaultColWidth="8.85546875" defaultRowHeight="15"/>
  <cols>
    <col min="1" max="1" width="12" customWidth="1"/>
    <col min="2" max="2" width="120" customWidth="1"/>
  </cols>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spans="1:2">
      <c r="A51" t="s">
        <v>100</v>
      </c>
      <c r="B51" t="s">
        <v>101</v>
      </c>
    </row>
    <row r="52" spans="1:2">
      <c r="A52" t="s">
        <v>102</v>
      </c>
      <c r="B52" t="s">
        <v>103</v>
      </c>
    </row>
    <row r="53" spans="1:2">
      <c r="A53" t="s">
        <v>104</v>
      </c>
      <c r="B53" t="s">
        <v>105</v>
      </c>
    </row>
    <row r="54" spans="1:2">
      <c r="A54" t="s">
        <v>106</v>
      </c>
      <c r="B54" t="s">
        <v>107</v>
      </c>
    </row>
    <row r="55" spans="1:2">
      <c r="A55" t="s">
        <v>108</v>
      </c>
      <c r="B55" t="s">
        <v>109</v>
      </c>
    </row>
    <row r="56" spans="1:2">
      <c r="A56" t="s">
        <v>110</v>
      </c>
      <c r="B56" t="s">
        <v>111</v>
      </c>
    </row>
    <row r="57" spans="1:2">
      <c r="A57" t="s">
        <v>112</v>
      </c>
      <c r="B57" t="s">
        <v>113</v>
      </c>
    </row>
    <row r="58" spans="1:2">
      <c r="A58" t="s">
        <v>114</v>
      </c>
      <c r="B58" t="s">
        <v>115</v>
      </c>
    </row>
    <row r="59" spans="1:2">
      <c r="A59" t="s">
        <v>116</v>
      </c>
      <c r="B59" t="s">
        <v>117</v>
      </c>
    </row>
    <row r="60" spans="1:2">
      <c r="A60" t="s">
        <v>118</v>
      </c>
      <c r="B60" t="s">
        <v>119</v>
      </c>
    </row>
    <row r="61" spans="1:2">
      <c r="A61" t="s">
        <v>120</v>
      </c>
      <c r="B61" t="s">
        <v>121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3</v>
      </c>
      <c r="C1" s="4"/>
    </row>
    <row r="2" spans="1:4">
      <c r="A2" s="4"/>
      <c r="B2" s="4"/>
      <c r="C2" s="4"/>
      <c r="D2" t="s">
        <v>123</v>
      </c>
    </row>
    <row r="3" spans="1:4">
      <c r="A3" s="2" t="s">
        <v>124</v>
      </c>
      <c r="B3" s="2" t="s">
        <v>125</v>
      </c>
      <c r="C3" s="2" t="s">
        <v>126</v>
      </c>
    </row>
    <row r="4" spans="1:4">
      <c r="A4" s="3" t="s">
        <v>127</v>
      </c>
      <c r="B4" s="5">
        <v>19</v>
      </c>
      <c r="C4" s="6">
        <f>IFERROR(B4/SUM($B$4:$B$6),0)</f>
        <v>0.59375</v>
      </c>
    </row>
    <row r="5" spans="1:4">
      <c r="A5" s="3" t="s">
        <v>128</v>
      </c>
      <c r="B5" s="5">
        <v>8</v>
      </c>
      <c r="C5" s="6">
        <f>IFERROR(B5/SUM($B$4:$B$6),0)</f>
        <v>0.25</v>
      </c>
    </row>
    <row r="6" spans="1:4">
      <c r="A6" s="3" t="s">
        <v>129</v>
      </c>
      <c r="B6" s="5">
        <v>5</v>
      </c>
      <c r="C6" s="6">
        <f>IFERROR(B6/SUM($B$4:$B$6),0)</f>
        <v>0.15625</v>
      </c>
    </row>
    <row r="7" spans="1:4">
      <c r="A7" s="7" t="s">
        <v>130</v>
      </c>
      <c r="B7" s="2">
        <f>SUM(B4:B6)</f>
        <v>32</v>
      </c>
      <c r="C7" s="8">
        <f>SUM(C4:C6)</f>
        <v>1</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5</v>
      </c>
      <c r="C1" s="4"/>
    </row>
    <row r="2" spans="1:4">
      <c r="A2" s="4"/>
      <c r="B2" s="4"/>
      <c r="C2" s="4"/>
      <c r="D2" t="s">
        <v>123</v>
      </c>
    </row>
    <row r="3" spans="1:4">
      <c r="A3" s="2" t="s">
        <v>124</v>
      </c>
      <c r="B3" s="2" t="s">
        <v>125</v>
      </c>
      <c r="C3" s="2" t="s">
        <v>126</v>
      </c>
    </row>
    <row r="4" spans="1:4">
      <c r="A4" s="3" t="s">
        <v>131</v>
      </c>
      <c r="B4" s="5">
        <v>14</v>
      </c>
      <c r="C4" s="6">
        <f>IFERROR(B4/SUM($B$4:$B$6),0)</f>
        <v>0.4375</v>
      </c>
    </row>
    <row r="5" spans="1:4">
      <c r="A5" s="3" t="s">
        <v>132</v>
      </c>
      <c r="B5" s="5">
        <v>9</v>
      </c>
      <c r="C5" s="6">
        <f>IFERROR(B5/SUM($B$4:$B$6),0)</f>
        <v>0.28125</v>
      </c>
    </row>
    <row r="6" spans="1:4">
      <c r="A6" s="3" t="s">
        <v>133</v>
      </c>
      <c r="B6" s="5">
        <v>9</v>
      </c>
      <c r="C6" s="6">
        <f>IFERROR(B6/SUM($B$4:$B$6),0)</f>
        <v>0.28125</v>
      </c>
    </row>
    <row r="7" spans="1:4">
      <c r="A7" s="7" t="s">
        <v>130</v>
      </c>
      <c r="B7" s="2">
        <f>SUM(B4:B6)</f>
        <v>32</v>
      </c>
      <c r="C7" s="8">
        <f>SUM(C4:C6)</f>
        <v>1</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5"/>
  <sheetViews>
    <sheetView workbookViewId="0">
      <selection activeCell="A37" sqref="A37"/>
    </sheetView>
  </sheetViews>
  <sheetFormatPr defaultColWidth="8.85546875" defaultRowHeight="15"/>
  <cols>
    <col min="1" max="1" width="40.7109375" customWidth="1"/>
    <col min="2" max="2" width="12" customWidth="1"/>
    <col min="3" max="3" width="14" customWidth="1"/>
    <col min="4" max="4" width="13" hidden="1" customWidth="1"/>
  </cols>
  <sheetData>
    <row r="1" spans="1:4">
      <c r="A1" s="2" t="s">
        <v>122</v>
      </c>
      <c r="B1" s="3" t="s">
        <v>7</v>
      </c>
      <c r="C1" s="4"/>
    </row>
    <row r="2" spans="1:4">
      <c r="A2" s="4"/>
      <c r="B2" s="4"/>
      <c r="C2" s="4"/>
      <c r="D2" t="s">
        <v>123</v>
      </c>
    </row>
    <row r="3" spans="1:4">
      <c r="A3" s="2" t="s">
        <v>124</v>
      </c>
      <c r="B3" s="2" t="s">
        <v>125</v>
      </c>
      <c r="C3" s="2" t="s">
        <v>126</v>
      </c>
    </row>
    <row r="4" spans="1:4" ht="15.95" customHeight="1">
      <c r="A4" s="9" t="s">
        <v>134</v>
      </c>
      <c r="B4" s="5">
        <v>5</v>
      </c>
      <c r="C4" s="6">
        <f t="shared" ref="C4:C24" si="0">IFERROR(B4/SUM($B$4:$B$24),0)</f>
        <v>0.15625</v>
      </c>
    </row>
    <row r="5" spans="1:4" ht="15.95" customHeight="1">
      <c r="A5" s="9" t="s">
        <v>135</v>
      </c>
      <c r="B5" s="5">
        <v>4</v>
      </c>
      <c r="C5" s="6">
        <f t="shared" si="0"/>
        <v>0.125</v>
      </c>
    </row>
    <row r="6" spans="1:4" ht="15.95" customHeight="1">
      <c r="A6" s="9" t="s">
        <v>136</v>
      </c>
      <c r="B6" s="5">
        <v>3</v>
      </c>
      <c r="C6" s="6">
        <f t="shared" si="0"/>
        <v>9.375E-2</v>
      </c>
    </row>
    <row r="7" spans="1:4" ht="32.1" customHeight="1">
      <c r="A7" s="9" t="s">
        <v>137</v>
      </c>
      <c r="B7" s="5">
        <v>3</v>
      </c>
      <c r="C7" s="6">
        <f t="shared" si="0"/>
        <v>9.375E-2</v>
      </c>
    </row>
    <row r="8" spans="1:4" ht="15.95" customHeight="1">
      <c r="A8" s="9" t="s">
        <v>138</v>
      </c>
      <c r="B8" s="5">
        <v>1</v>
      </c>
      <c r="C8" s="6">
        <f t="shared" si="0"/>
        <v>3.125E-2</v>
      </c>
    </row>
    <row r="9" spans="1:4" ht="15.95" customHeight="1">
      <c r="A9" s="9" t="s">
        <v>139</v>
      </c>
      <c r="B9" s="5">
        <v>1</v>
      </c>
      <c r="C9" s="6">
        <f t="shared" si="0"/>
        <v>3.125E-2</v>
      </c>
    </row>
    <row r="10" spans="1:4" ht="15.95" customHeight="1">
      <c r="A10" s="9" t="s">
        <v>140</v>
      </c>
      <c r="B10" s="5">
        <v>1</v>
      </c>
      <c r="C10" s="6">
        <f t="shared" si="0"/>
        <v>3.125E-2</v>
      </c>
    </row>
    <row r="11" spans="1:4" ht="15.95" customHeight="1">
      <c r="A11" s="9" t="s">
        <v>141</v>
      </c>
      <c r="B11" s="5">
        <v>1</v>
      </c>
      <c r="C11" s="6">
        <f t="shared" si="0"/>
        <v>3.125E-2</v>
      </c>
    </row>
    <row r="12" spans="1:4" ht="32.1" customHeight="1">
      <c r="A12" s="9" t="s">
        <v>142</v>
      </c>
      <c r="B12" s="5">
        <v>1</v>
      </c>
      <c r="C12" s="6">
        <f t="shared" si="0"/>
        <v>3.125E-2</v>
      </c>
    </row>
    <row r="13" spans="1:4" ht="15.95" customHeight="1">
      <c r="A13" s="9" t="s">
        <v>143</v>
      </c>
      <c r="B13" s="5">
        <v>1</v>
      </c>
      <c r="C13" s="6">
        <f t="shared" si="0"/>
        <v>3.125E-2</v>
      </c>
    </row>
    <row r="14" spans="1:4" ht="48" customHeight="1">
      <c r="A14" s="9" t="s">
        <v>144</v>
      </c>
      <c r="B14" s="5">
        <v>1</v>
      </c>
      <c r="C14" s="6">
        <f t="shared" si="0"/>
        <v>3.125E-2</v>
      </c>
    </row>
    <row r="15" spans="1:4" ht="48" customHeight="1">
      <c r="A15" s="9" t="s">
        <v>145</v>
      </c>
      <c r="B15" s="5">
        <v>1</v>
      </c>
      <c r="C15" s="6">
        <f t="shared" si="0"/>
        <v>3.125E-2</v>
      </c>
    </row>
    <row r="16" spans="1:4" ht="32.1" customHeight="1">
      <c r="A16" s="9" t="s">
        <v>146</v>
      </c>
      <c r="B16" s="5">
        <v>1</v>
      </c>
      <c r="C16" s="6">
        <f t="shared" si="0"/>
        <v>3.125E-2</v>
      </c>
    </row>
    <row r="17" spans="1:3" ht="15.95" customHeight="1">
      <c r="A17" s="9" t="s">
        <v>147</v>
      </c>
      <c r="B17" s="5">
        <v>1</v>
      </c>
      <c r="C17" s="6">
        <f t="shared" si="0"/>
        <v>3.125E-2</v>
      </c>
    </row>
    <row r="18" spans="1:3" ht="15.95" customHeight="1">
      <c r="A18" s="9" t="s">
        <v>148</v>
      </c>
      <c r="B18" s="5">
        <v>1</v>
      </c>
      <c r="C18" s="6">
        <f t="shared" si="0"/>
        <v>3.125E-2</v>
      </c>
    </row>
    <row r="19" spans="1:3" ht="15.95" customHeight="1">
      <c r="A19" s="9" t="s">
        <v>149</v>
      </c>
      <c r="B19" s="5">
        <v>1</v>
      </c>
      <c r="C19" s="6">
        <f t="shared" si="0"/>
        <v>3.125E-2</v>
      </c>
    </row>
    <row r="20" spans="1:3" ht="32.1" customHeight="1">
      <c r="A20" s="9" t="s">
        <v>150</v>
      </c>
      <c r="B20" s="5">
        <v>1</v>
      </c>
      <c r="C20" s="6">
        <f t="shared" si="0"/>
        <v>3.125E-2</v>
      </c>
    </row>
    <row r="21" spans="1:3" ht="32.1" customHeight="1">
      <c r="A21" s="9" t="s">
        <v>151</v>
      </c>
      <c r="B21" s="5">
        <v>1</v>
      </c>
      <c r="C21" s="6">
        <f t="shared" si="0"/>
        <v>3.125E-2</v>
      </c>
    </row>
    <row r="22" spans="1:3" ht="32.1" customHeight="1">
      <c r="A22" s="9" t="s">
        <v>152</v>
      </c>
      <c r="B22" s="5">
        <v>1</v>
      </c>
      <c r="C22" s="6">
        <f t="shared" si="0"/>
        <v>3.125E-2</v>
      </c>
    </row>
    <row r="23" spans="1:3" ht="15.95" customHeight="1">
      <c r="A23" s="9" t="s">
        <v>153</v>
      </c>
      <c r="B23" s="5">
        <v>1</v>
      </c>
      <c r="C23" s="6">
        <f t="shared" si="0"/>
        <v>3.125E-2</v>
      </c>
    </row>
    <row r="24" spans="1:3" ht="32.1" customHeight="1">
      <c r="A24" s="9" t="s">
        <v>154</v>
      </c>
      <c r="B24" s="5">
        <v>1</v>
      </c>
      <c r="C24" s="6">
        <f t="shared" si="0"/>
        <v>3.125E-2</v>
      </c>
    </row>
    <row r="25" spans="1:3">
      <c r="A25" s="7" t="s">
        <v>130</v>
      </c>
      <c r="B25" s="2">
        <f>SUM(B4:B24)</f>
        <v>32</v>
      </c>
      <c r="C25" s="8">
        <f>SUM(C4:C24)</f>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6"/>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9</v>
      </c>
      <c r="C1" s="4"/>
    </row>
    <row r="2" spans="1:4">
      <c r="A2" s="4"/>
      <c r="B2" s="4"/>
      <c r="C2" s="4"/>
      <c r="D2" t="s">
        <v>123</v>
      </c>
    </row>
    <row r="3" spans="1:4">
      <c r="A3" s="2" t="s">
        <v>124</v>
      </c>
      <c r="B3" s="2" t="s">
        <v>125</v>
      </c>
      <c r="C3" s="2" t="s">
        <v>126</v>
      </c>
    </row>
    <row r="4" spans="1:4">
      <c r="A4" s="3" t="s">
        <v>155</v>
      </c>
      <c r="B4" s="5">
        <v>25</v>
      </c>
      <c r="C4" s="6">
        <f>IFERROR(B4/SUM($B$4:$B$5),0)</f>
        <v>0.78125</v>
      </c>
    </row>
    <row r="5" spans="1:4">
      <c r="A5" s="3" t="s">
        <v>156</v>
      </c>
      <c r="B5" s="5">
        <v>7</v>
      </c>
      <c r="C5" s="6">
        <f>IFERROR(B5/SUM($B$4:$B$5),0)</f>
        <v>0.21875</v>
      </c>
    </row>
    <row r="6" spans="1:4">
      <c r="A6" s="7" t="s">
        <v>130</v>
      </c>
      <c r="B6" s="2">
        <f>SUM(B4:B5)</f>
        <v>32</v>
      </c>
      <c r="C6" s="8">
        <f>SUM(C4:C5)</f>
        <v>1</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7"/>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11</v>
      </c>
      <c r="C1" s="4"/>
    </row>
    <row r="2" spans="1:4">
      <c r="A2" s="4"/>
      <c r="B2" s="4"/>
      <c r="C2" s="4"/>
      <c r="D2" t="s">
        <v>123</v>
      </c>
    </row>
    <row r="3" spans="1:4">
      <c r="A3" s="2" t="s">
        <v>124</v>
      </c>
      <c r="B3" s="2" t="s">
        <v>125</v>
      </c>
      <c r="C3" s="2" t="s">
        <v>126</v>
      </c>
    </row>
    <row r="4" spans="1:4">
      <c r="A4" s="3" t="s">
        <v>155</v>
      </c>
      <c r="B4" s="5">
        <v>29</v>
      </c>
      <c r="C4" s="6">
        <f>IFERROR(B4/SUM($B$4:$B$6),0)</f>
        <v>0.90625</v>
      </c>
    </row>
    <row r="5" spans="1:4">
      <c r="A5" s="3" t="s">
        <v>156</v>
      </c>
      <c r="B5" s="5">
        <v>1</v>
      </c>
      <c r="C5" s="6">
        <f>IFERROR(B5/SUM($B$4:$B$6),0)</f>
        <v>3.125E-2</v>
      </c>
    </row>
    <row r="6" spans="1:4">
      <c r="A6" s="3" t="s">
        <v>157</v>
      </c>
      <c r="B6" s="5">
        <v>2</v>
      </c>
      <c r="C6" s="6">
        <f>IFERROR(B6/SUM($B$4:$B$6),0)</f>
        <v>6.25E-2</v>
      </c>
    </row>
    <row r="7" spans="1:4">
      <c r="A7" s="7" t="s">
        <v>130</v>
      </c>
      <c r="B7" s="2">
        <f>SUM(B4:B6)</f>
        <v>32</v>
      </c>
      <c r="C7" s="8">
        <f>SUM(C4:C6)</f>
        <v>1</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7"/>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13</v>
      </c>
      <c r="C1" s="4"/>
    </row>
    <row r="2" spans="1:4">
      <c r="A2" s="4"/>
      <c r="B2" s="4"/>
      <c r="C2" s="4"/>
      <c r="D2" t="s">
        <v>123</v>
      </c>
    </row>
    <row r="3" spans="1:4">
      <c r="A3" s="2" t="s">
        <v>124</v>
      </c>
      <c r="B3" s="2" t="s">
        <v>125</v>
      </c>
      <c r="C3" s="2" t="s">
        <v>126</v>
      </c>
    </row>
    <row r="4" spans="1:4">
      <c r="A4" s="3" t="s">
        <v>155</v>
      </c>
      <c r="B4" s="5">
        <v>21</v>
      </c>
      <c r="C4" s="6">
        <f>IFERROR(B4/SUM($B$4:$B$6),0)</f>
        <v>0.65625</v>
      </c>
    </row>
    <row r="5" spans="1:4">
      <c r="A5" s="3" t="s">
        <v>156</v>
      </c>
      <c r="B5" s="5">
        <v>7</v>
      </c>
      <c r="C5" s="6">
        <f>IFERROR(B5/SUM($B$4:$B$6),0)</f>
        <v>0.21875</v>
      </c>
    </row>
    <row r="6" spans="1:4">
      <c r="A6" s="3" t="s">
        <v>157</v>
      </c>
      <c r="B6" s="5">
        <v>4</v>
      </c>
      <c r="C6" s="6">
        <f>IFERROR(B6/SUM($B$4:$B$6),0)</f>
        <v>0.125</v>
      </c>
    </row>
    <row r="7" spans="1:4">
      <c r="A7" s="7" t="s">
        <v>130</v>
      </c>
      <c r="B7" s="2">
        <f>SUM(B4:B6)</f>
        <v>32</v>
      </c>
      <c r="C7" s="8">
        <f>SUM(C4:C6)</f>
        <v>1</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15</v>
      </c>
      <c r="C1" s="4"/>
    </row>
    <row r="2" spans="1:4">
      <c r="A2" s="4"/>
      <c r="B2" s="4"/>
      <c r="C2" s="4"/>
      <c r="D2" t="s">
        <v>123</v>
      </c>
    </row>
    <row r="3" spans="1:4">
      <c r="A3" s="2" t="s">
        <v>124</v>
      </c>
      <c r="B3" s="2" t="s">
        <v>125</v>
      </c>
      <c r="C3" s="2" t="s">
        <v>126</v>
      </c>
    </row>
    <row r="4" spans="1:4">
      <c r="A4" s="3" t="s">
        <v>155</v>
      </c>
      <c r="B4" s="5">
        <v>22</v>
      </c>
      <c r="C4" s="6">
        <f>IFERROR(B4/SUM($B$4:$B$5),0)</f>
        <v>0.6875</v>
      </c>
    </row>
    <row r="5" spans="1:4">
      <c r="A5" s="3" t="s">
        <v>156</v>
      </c>
      <c r="B5" s="5">
        <v>10</v>
      </c>
      <c r="C5" s="6">
        <f>IFERROR(B5/SUM($B$4:$B$5),0)</f>
        <v>0.3125</v>
      </c>
    </row>
    <row r="6" spans="1:4">
      <c r="A6" s="7" t="s">
        <v>130</v>
      </c>
      <c r="B6" s="2">
        <f>SUM(B4:B5)</f>
        <v>32</v>
      </c>
      <c r="C6" s="8">
        <f>SUM(C4:C5)</f>
        <v>1</v>
      </c>
    </row>
  </sheetData>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8"/>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17</v>
      </c>
      <c r="C1" s="4"/>
    </row>
    <row r="2" spans="1:4">
      <c r="A2" s="4"/>
      <c r="B2" s="4"/>
      <c r="C2" s="4"/>
      <c r="D2" t="s">
        <v>123</v>
      </c>
    </row>
    <row r="3" spans="1:4">
      <c r="A3" s="2" t="s">
        <v>124</v>
      </c>
      <c r="B3" s="2" t="s">
        <v>125</v>
      </c>
      <c r="C3" s="2" t="s">
        <v>126</v>
      </c>
    </row>
    <row r="4" spans="1:4">
      <c r="A4" s="3" t="s">
        <v>155</v>
      </c>
      <c r="B4" s="5">
        <v>18</v>
      </c>
      <c r="C4" s="6">
        <f>IFERROR(B4/SUM($B$4:$B$7),0)</f>
        <v>0.5625</v>
      </c>
    </row>
    <row r="5" spans="1:4">
      <c r="A5" s="3" t="s">
        <v>156</v>
      </c>
      <c r="B5" s="5">
        <v>10</v>
      </c>
      <c r="C5" s="6">
        <f>IFERROR(B5/SUM($B$4:$B$7),0)</f>
        <v>0.3125</v>
      </c>
    </row>
    <row r="6" spans="1:4">
      <c r="A6" s="3" t="s">
        <v>157</v>
      </c>
      <c r="B6" s="5">
        <v>3</v>
      </c>
      <c r="C6" s="6">
        <f>IFERROR(B6/SUM($B$4:$B$7),0)</f>
        <v>9.375E-2</v>
      </c>
    </row>
    <row r="7" spans="1:4">
      <c r="A7" s="3" t="s">
        <v>158</v>
      </c>
      <c r="B7" s="5">
        <v>1</v>
      </c>
      <c r="C7" s="6">
        <f>IFERROR(B7/SUM($B$4:$B$7),0)</f>
        <v>3.125E-2</v>
      </c>
    </row>
    <row r="8" spans="1:4">
      <c r="A8" s="7" t="s">
        <v>130</v>
      </c>
      <c r="B8" s="2">
        <f>SUM(B4:B7)</f>
        <v>32</v>
      </c>
      <c r="C8" s="8">
        <f>SUM(C4:C7)</f>
        <v>1</v>
      </c>
    </row>
  </sheetData>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9"/>
  <sheetViews>
    <sheetView workbookViewId="0">
      <selection activeCell="L21" sqref="L21"/>
    </sheetView>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19</v>
      </c>
      <c r="C1" s="4"/>
    </row>
    <row r="2" spans="1:4">
      <c r="A2" s="4"/>
      <c r="B2" s="4"/>
      <c r="C2" s="4"/>
      <c r="D2" t="s">
        <v>123</v>
      </c>
    </row>
    <row r="3" spans="1:4">
      <c r="A3" s="2" t="s">
        <v>124</v>
      </c>
      <c r="B3" s="2" t="s">
        <v>125</v>
      </c>
      <c r="C3" s="2" t="s">
        <v>126</v>
      </c>
    </row>
    <row r="4" spans="1:4">
      <c r="A4" s="3" t="s">
        <v>155</v>
      </c>
      <c r="B4" s="5">
        <v>14</v>
      </c>
      <c r="C4" s="6">
        <f>IFERROR(B4/SUM($B$4:$B$8),0)</f>
        <v>0.4375</v>
      </c>
    </row>
    <row r="5" spans="1:4">
      <c r="A5" s="3" t="s">
        <v>156</v>
      </c>
      <c r="B5" s="5">
        <v>10</v>
      </c>
      <c r="C5" s="6">
        <f>IFERROR(B5/SUM($B$4:$B$8),0)</f>
        <v>0.3125</v>
      </c>
    </row>
    <row r="6" spans="1:4">
      <c r="A6" s="3" t="s">
        <v>157</v>
      </c>
      <c r="B6" s="5">
        <v>4</v>
      </c>
      <c r="C6" s="6">
        <f>IFERROR(B6/SUM($B$4:$B$8),0)</f>
        <v>0.125</v>
      </c>
    </row>
    <row r="7" spans="1:4">
      <c r="A7" s="3" t="s">
        <v>159</v>
      </c>
      <c r="B7" s="5">
        <v>2</v>
      </c>
      <c r="C7" s="6">
        <f>IFERROR(B7/SUM($B$4:$B$8),0)</f>
        <v>6.25E-2</v>
      </c>
    </row>
    <row r="8" spans="1:4">
      <c r="A8" s="3" t="s">
        <v>158</v>
      </c>
      <c r="B8" s="5">
        <v>2</v>
      </c>
      <c r="C8" s="6">
        <f>IFERROR(B8/SUM($B$4:$B$8),0)</f>
        <v>6.25E-2</v>
      </c>
    </row>
    <row r="9" spans="1:4">
      <c r="A9" s="7" t="s">
        <v>130</v>
      </c>
      <c r="B9" s="2">
        <f>SUM(B4:B8)</f>
        <v>32</v>
      </c>
      <c r="C9" s="8">
        <f>SUM(C4:C8)</f>
        <v>1</v>
      </c>
    </row>
  </sheetData>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9"/>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21</v>
      </c>
      <c r="C1" s="4"/>
    </row>
    <row r="2" spans="1:4">
      <c r="A2" s="4"/>
      <c r="B2" s="4"/>
      <c r="C2" s="4"/>
      <c r="D2" t="s">
        <v>123</v>
      </c>
    </row>
    <row r="3" spans="1:4">
      <c r="A3" s="2" t="s">
        <v>124</v>
      </c>
      <c r="B3" s="2" t="s">
        <v>125</v>
      </c>
      <c r="C3" s="2" t="s">
        <v>126</v>
      </c>
    </row>
    <row r="4" spans="1:4">
      <c r="A4" s="3" t="s">
        <v>155</v>
      </c>
      <c r="B4" s="5">
        <v>6</v>
      </c>
      <c r="C4" s="6">
        <f>IFERROR(B4/SUM($B$4:$B$8),0)</f>
        <v>0.1875</v>
      </c>
    </row>
    <row r="5" spans="1:4">
      <c r="A5" s="3" t="s">
        <v>156</v>
      </c>
      <c r="B5" s="5">
        <v>14</v>
      </c>
      <c r="C5" s="6">
        <f>IFERROR(B5/SUM($B$4:$B$8),0)</f>
        <v>0.4375</v>
      </c>
    </row>
    <row r="6" spans="1:4">
      <c r="A6" s="3" t="s">
        <v>160</v>
      </c>
      <c r="B6" s="5">
        <v>3</v>
      </c>
      <c r="C6" s="6">
        <f>IFERROR(B6/SUM($B$4:$B$8),0)</f>
        <v>9.375E-2</v>
      </c>
    </row>
    <row r="7" spans="1:4">
      <c r="A7" s="3" t="s">
        <v>157</v>
      </c>
      <c r="B7" s="5">
        <v>7</v>
      </c>
      <c r="C7" s="6">
        <f>IFERROR(B7/SUM($B$4:$B$8),0)</f>
        <v>0.21875</v>
      </c>
    </row>
    <row r="8" spans="1:4">
      <c r="A8" s="3" t="s">
        <v>159</v>
      </c>
      <c r="B8" s="5">
        <v>2</v>
      </c>
      <c r="C8" s="6">
        <f>IFERROR(B8/SUM($B$4:$B$8),0)</f>
        <v>6.25E-2</v>
      </c>
    </row>
    <row r="9" spans="1:4">
      <c r="A9" s="7" t="s">
        <v>130</v>
      </c>
      <c r="B9" s="2">
        <f>SUM(B4:B8)</f>
        <v>32</v>
      </c>
      <c r="C9" s="8">
        <f>SUM(C4:C8)</f>
        <v>1</v>
      </c>
    </row>
  </sheetData>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9"/>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23</v>
      </c>
      <c r="C1" s="4"/>
    </row>
    <row r="2" spans="1:4">
      <c r="A2" s="4"/>
      <c r="B2" s="4"/>
      <c r="C2" s="4"/>
      <c r="D2" t="s">
        <v>123</v>
      </c>
    </row>
    <row r="3" spans="1:4">
      <c r="A3" s="2" t="s">
        <v>124</v>
      </c>
      <c r="B3" s="2" t="s">
        <v>125</v>
      </c>
      <c r="C3" s="2" t="s">
        <v>126</v>
      </c>
    </row>
    <row r="4" spans="1:4">
      <c r="A4" s="3" t="s">
        <v>155</v>
      </c>
      <c r="B4" s="5">
        <v>12</v>
      </c>
      <c r="C4" s="6">
        <f>IFERROR(B4/SUM($B$4:$B$8),0)</f>
        <v>0.375</v>
      </c>
    </row>
    <row r="5" spans="1:4">
      <c r="A5" s="3" t="s">
        <v>156</v>
      </c>
      <c r="B5" s="5">
        <v>11</v>
      </c>
      <c r="C5" s="6">
        <f>IFERROR(B5/SUM($B$4:$B$8),0)</f>
        <v>0.34375</v>
      </c>
    </row>
    <row r="6" spans="1:4">
      <c r="A6" s="3" t="s">
        <v>160</v>
      </c>
      <c r="B6" s="5">
        <v>3</v>
      </c>
      <c r="C6" s="6">
        <f>IFERROR(B6/SUM($B$4:$B$8),0)</f>
        <v>9.375E-2</v>
      </c>
    </row>
    <row r="7" spans="1:4">
      <c r="A7" s="3" t="s">
        <v>157</v>
      </c>
      <c r="B7" s="5">
        <v>5</v>
      </c>
      <c r="C7" s="6">
        <f>IFERROR(B7/SUM($B$4:$B$8),0)</f>
        <v>0.15625</v>
      </c>
    </row>
    <row r="8" spans="1:4">
      <c r="A8" s="3" t="s">
        <v>159</v>
      </c>
      <c r="B8" s="5">
        <v>1</v>
      </c>
      <c r="C8" s="6">
        <f>IFERROR(B8/SUM($B$4:$B$8),0)</f>
        <v>3.125E-2</v>
      </c>
    </row>
    <row r="9" spans="1:4">
      <c r="A9" s="7" t="s">
        <v>130</v>
      </c>
      <c r="B9" s="2">
        <f>SUM(B4:B8)</f>
        <v>32</v>
      </c>
      <c r="C9" s="8">
        <f>SUM(C4:C8)</f>
        <v>1</v>
      </c>
    </row>
  </sheetData>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7"/>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25</v>
      </c>
      <c r="C1" s="4"/>
    </row>
    <row r="2" spans="1:4">
      <c r="A2" s="4"/>
      <c r="B2" s="4"/>
      <c r="C2" s="4"/>
      <c r="D2" t="s">
        <v>123</v>
      </c>
    </row>
    <row r="3" spans="1:4">
      <c r="A3" s="2" t="s">
        <v>124</v>
      </c>
      <c r="B3" s="2" t="s">
        <v>125</v>
      </c>
      <c r="C3" s="2" t="s">
        <v>126</v>
      </c>
    </row>
    <row r="4" spans="1:4">
      <c r="A4" s="3" t="s">
        <v>155</v>
      </c>
      <c r="B4" s="5">
        <v>20</v>
      </c>
      <c r="C4" s="6">
        <f>IFERROR(B4/SUM($B$4:$B$6),0)</f>
        <v>0.625</v>
      </c>
    </row>
    <row r="5" spans="1:4">
      <c r="A5" s="3" t="s">
        <v>156</v>
      </c>
      <c r="B5" s="5">
        <v>11</v>
      </c>
      <c r="C5" s="6">
        <f>IFERROR(B5/SUM($B$4:$B$6),0)</f>
        <v>0.34375</v>
      </c>
    </row>
    <row r="6" spans="1:4">
      <c r="A6" s="3" t="s">
        <v>160</v>
      </c>
      <c r="B6" s="5">
        <v>1</v>
      </c>
      <c r="C6" s="6">
        <f>IFERROR(B6/SUM($B$4:$B$6),0)</f>
        <v>3.125E-2</v>
      </c>
    </row>
    <row r="7" spans="1:4">
      <c r="A7" s="7" t="s">
        <v>130</v>
      </c>
      <c r="B7" s="2">
        <f>SUM(B4:B6)</f>
        <v>32</v>
      </c>
      <c r="C7" s="8">
        <f>SUM(C4:C6)</f>
        <v>1</v>
      </c>
    </row>
  </sheetData>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9"/>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27</v>
      </c>
      <c r="C1" s="4"/>
    </row>
    <row r="2" spans="1:4">
      <c r="A2" s="4"/>
      <c r="B2" s="4"/>
      <c r="C2" s="4"/>
      <c r="D2" t="s">
        <v>123</v>
      </c>
    </row>
    <row r="3" spans="1:4">
      <c r="A3" s="2" t="s">
        <v>124</v>
      </c>
      <c r="B3" s="2" t="s">
        <v>125</v>
      </c>
      <c r="C3" s="2" t="s">
        <v>126</v>
      </c>
    </row>
    <row r="4" spans="1:4">
      <c r="A4" s="3" t="s">
        <v>155</v>
      </c>
      <c r="B4" s="5">
        <v>12</v>
      </c>
      <c r="C4" s="6">
        <f>IFERROR(B4/SUM($B$4:$B$8),0)</f>
        <v>0.375</v>
      </c>
    </row>
    <row r="5" spans="1:4">
      <c r="A5" s="3" t="s">
        <v>156</v>
      </c>
      <c r="B5" s="5">
        <v>12</v>
      </c>
      <c r="C5" s="6">
        <f>IFERROR(B5/SUM($B$4:$B$8),0)</f>
        <v>0.375</v>
      </c>
    </row>
    <row r="6" spans="1:4">
      <c r="A6" s="3" t="s">
        <v>160</v>
      </c>
      <c r="B6" s="5">
        <v>1</v>
      </c>
      <c r="C6" s="6">
        <f>IFERROR(B6/SUM($B$4:$B$8),0)</f>
        <v>3.125E-2</v>
      </c>
    </row>
    <row r="7" spans="1:4">
      <c r="A7" s="3" t="s">
        <v>157</v>
      </c>
      <c r="B7" s="5">
        <v>5</v>
      </c>
      <c r="C7" s="6">
        <f>IFERROR(B7/SUM($B$4:$B$8),0)</f>
        <v>0.15625</v>
      </c>
    </row>
    <row r="8" spans="1:4">
      <c r="A8" s="3" t="s">
        <v>158</v>
      </c>
      <c r="B8" s="5">
        <v>2</v>
      </c>
      <c r="C8" s="6">
        <f>IFERROR(B8/SUM($B$4:$B$8),0)</f>
        <v>6.25E-2</v>
      </c>
    </row>
    <row r="9" spans="1:4">
      <c r="A9" s="7" t="s">
        <v>130</v>
      </c>
      <c r="B9" s="2">
        <f>SUM(B4:B8)</f>
        <v>32</v>
      </c>
      <c r="C9" s="8">
        <f>SUM(C4:C8)</f>
        <v>1</v>
      </c>
    </row>
  </sheetData>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7"/>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29</v>
      </c>
      <c r="C1" s="4"/>
    </row>
    <row r="2" spans="1:4">
      <c r="A2" s="4"/>
      <c r="B2" s="4"/>
      <c r="C2" s="4"/>
      <c r="D2" t="s">
        <v>123</v>
      </c>
    </row>
    <row r="3" spans="1:4">
      <c r="A3" s="2" t="s">
        <v>124</v>
      </c>
      <c r="B3" s="2" t="s">
        <v>125</v>
      </c>
      <c r="C3" s="2" t="s">
        <v>126</v>
      </c>
    </row>
    <row r="4" spans="1:4">
      <c r="A4" s="3" t="s">
        <v>155</v>
      </c>
      <c r="B4" s="5">
        <v>26</v>
      </c>
      <c r="C4" s="6">
        <f>IFERROR(B4/SUM($B$4:$B$6),0)</f>
        <v>0.8125</v>
      </c>
    </row>
    <row r="5" spans="1:4">
      <c r="A5" s="3" t="s">
        <v>156</v>
      </c>
      <c r="B5" s="5">
        <v>5</v>
      </c>
      <c r="C5" s="6">
        <f>IFERROR(B5/SUM($B$4:$B$6),0)</f>
        <v>0.15625</v>
      </c>
    </row>
    <row r="6" spans="1:4">
      <c r="A6" s="3" t="s">
        <v>160</v>
      </c>
      <c r="B6" s="5">
        <v>1</v>
      </c>
      <c r="C6" s="6">
        <f>IFERROR(B6/SUM($B$4:$B$6),0)</f>
        <v>3.125E-2</v>
      </c>
    </row>
    <row r="7" spans="1:4">
      <c r="A7" s="7" t="s">
        <v>130</v>
      </c>
      <c r="B7" s="2">
        <f>SUM(B4:B6)</f>
        <v>32</v>
      </c>
      <c r="C7" s="8">
        <f>SUM(C4:C6)</f>
        <v>1</v>
      </c>
    </row>
  </sheetData>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6"/>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31</v>
      </c>
      <c r="C1" s="4"/>
    </row>
    <row r="2" spans="1:4">
      <c r="A2" s="4"/>
      <c r="B2" s="4"/>
      <c r="C2" s="4"/>
      <c r="D2" t="s">
        <v>123</v>
      </c>
    </row>
    <row r="3" spans="1:4">
      <c r="A3" s="2" t="s">
        <v>124</v>
      </c>
      <c r="B3" s="2" t="s">
        <v>125</v>
      </c>
      <c r="C3" s="2" t="s">
        <v>126</v>
      </c>
    </row>
    <row r="4" spans="1:4">
      <c r="A4" s="3" t="s">
        <v>155</v>
      </c>
      <c r="B4" s="5">
        <v>25</v>
      </c>
      <c r="C4" s="6">
        <f>IFERROR(B4/SUM($B$4:$B$5),0)</f>
        <v>0.78125</v>
      </c>
    </row>
    <row r="5" spans="1:4">
      <c r="A5" s="3" t="s">
        <v>156</v>
      </c>
      <c r="B5" s="5">
        <v>7</v>
      </c>
      <c r="C5" s="6">
        <f>IFERROR(B5/SUM($B$4:$B$5),0)</f>
        <v>0.21875</v>
      </c>
    </row>
    <row r="6" spans="1:4">
      <c r="A6" s="7" t="s">
        <v>130</v>
      </c>
      <c r="B6" s="2">
        <f>SUM(B4:B5)</f>
        <v>32</v>
      </c>
      <c r="C6" s="8">
        <f>SUM(C4:C5)</f>
        <v>1</v>
      </c>
    </row>
  </sheetData>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36"/>
  <sheetViews>
    <sheetView workbookViewId="0">
      <selection activeCell="A15" sqref="A15"/>
    </sheetView>
  </sheetViews>
  <sheetFormatPr defaultColWidth="8.85546875" defaultRowHeight="15"/>
  <cols>
    <col min="1" max="1" width="49.42578125" customWidth="1"/>
    <col min="2" max="2" width="12" customWidth="1"/>
    <col min="3" max="3" width="14" customWidth="1"/>
    <col min="4" max="4" width="13" hidden="1" customWidth="1"/>
  </cols>
  <sheetData>
    <row r="1" spans="1:4">
      <c r="A1" s="2" t="s">
        <v>122</v>
      </c>
      <c r="B1" s="3" t="s">
        <v>33</v>
      </c>
      <c r="C1" s="4"/>
    </row>
    <row r="2" spans="1:4">
      <c r="A2" s="4"/>
      <c r="B2" s="4"/>
      <c r="C2" s="4"/>
      <c r="D2" t="s">
        <v>123</v>
      </c>
    </row>
    <row r="3" spans="1:4">
      <c r="A3" s="2" t="s">
        <v>124</v>
      </c>
      <c r="B3" s="2" t="s">
        <v>125</v>
      </c>
      <c r="C3" s="2" t="s">
        <v>126</v>
      </c>
    </row>
    <row r="4" spans="1:4" ht="32.1" customHeight="1">
      <c r="A4" s="9" t="s">
        <v>161</v>
      </c>
      <c r="B4" s="5">
        <v>1</v>
      </c>
      <c r="C4" s="6">
        <f t="shared" ref="C4:C35" si="0">IFERROR(B4/SUM($B$4:$B$35),0)</f>
        <v>3.125E-2</v>
      </c>
    </row>
    <row r="5" spans="1:4" ht="32.1" customHeight="1">
      <c r="A5" s="9" t="s">
        <v>162</v>
      </c>
      <c r="B5" s="5">
        <v>1</v>
      </c>
      <c r="C5" s="6">
        <f t="shared" si="0"/>
        <v>3.125E-2</v>
      </c>
    </row>
    <row r="6" spans="1:4" ht="15.95" customHeight="1">
      <c r="A6" s="9" t="s">
        <v>163</v>
      </c>
      <c r="B6" s="5">
        <v>1</v>
      </c>
      <c r="C6" s="6">
        <f t="shared" si="0"/>
        <v>3.125E-2</v>
      </c>
    </row>
    <row r="7" spans="1:4" ht="48" customHeight="1">
      <c r="A7" s="9" t="s">
        <v>164</v>
      </c>
      <c r="B7" s="5">
        <v>1</v>
      </c>
      <c r="C7" s="6">
        <f t="shared" si="0"/>
        <v>3.125E-2</v>
      </c>
    </row>
    <row r="8" spans="1:4" ht="15.95" customHeight="1">
      <c r="A8" s="9" t="s">
        <v>165</v>
      </c>
      <c r="B8" s="5">
        <v>1</v>
      </c>
      <c r="C8" s="6">
        <f t="shared" si="0"/>
        <v>3.125E-2</v>
      </c>
    </row>
    <row r="9" spans="1:4" ht="80.099999999999994" customHeight="1">
      <c r="A9" s="9" t="s">
        <v>166</v>
      </c>
      <c r="B9" s="5">
        <v>1</v>
      </c>
      <c r="C9" s="6">
        <f t="shared" si="0"/>
        <v>3.125E-2</v>
      </c>
    </row>
    <row r="10" spans="1:4" ht="15.95" customHeight="1">
      <c r="A10" s="9" t="s">
        <v>167</v>
      </c>
      <c r="B10" s="5">
        <v>1</v>
      </c>
      <c r="C10" s="6">
        <f t="shared" si="0"/>
        <v>3.125E-2</v>
      </c>
    </row>
    <row r="11" spans="1:4" ht="32.1" customHeight="1">
      <c r="A11" s="9" t="s">
        <v>168</v>
      </c>
      <c r="B11" s="5">
        <v>1</v>
      </c>
      <c r="C11" s="6">
        <f t="shared" si="0"/>
        <v>3.125E-2</v>
      </c>
    </row>
    <row r="12" spans="1:4" ht="32.1" customHeight="1">
      <c r="A12" s="9" t="s">
        <v>169</v>
      </c>
      <c r="B12" s="5">
        <v>1</v>
      </c>
      <c r="C12" s="6">
        <f t="shared" si="0"/>
        <v>3.125E-2</v>
      </c>
    </row>
    <row r="13" spans="1:4" ht="48" customHeight="1">
      <c r="A13" s="9" t="s">
        <v>170</v>
      </c>
      <c r="B13" s="5">
        <v>1</v>
      </c>
      <c r="C13" s="6">
        <f t="shared" si="0"/>
        <v>3.125E-2</v>
      </c>
    </row>
    <row r="14" spans="1:4" ht="32.1" customHeight="1">
      <c r="A14" s="9" t="s">
        <v>171</v>
      </c>
      <c r="B14" s="5">
        <v>1</v>
      </c>
      <c r="C14" s="6">
        <f t="shared" si="0"/>
        <v>3.125E-2</v>
      </c>
    </row>
    <row r="15" spans="1:4" ht="15.95" customHeight="1">
      <c r="A15" s="9" t="s">
        <v>172</v>
      </c>
      <c r="B15" s="5">
        <v>1</v>
      </c>
      <c r="C15" s="6">
        <f t="shared" si="0"/>
        <v>3.125E-2</v>
      </c>
    </row>
    <row r="16" spans="1:4" ht="32.1" customHeight="1">
      <c r="A16" s="9" t="s">
        <v>173</v>
      </c>
      <c r="B16" s="5">
        <v>1</v>
      </c>
      <c r="C16" s="6">
        <f t="shared" si="0"/>
        <v>3.125E-2</v>
      </c>
    </row>
    <row r="17" spans="1:3" ht="48" customHeight="1">
      <c r="A17" s="9" t="s">
        <v>174</v>
      </c>
      <c r="B17" s="5">
        <v>1</v>
      </c>
      <c r="C17" s="6">
        <f t="shared" si="0"/>
        <v>3.125E-2</v>
      </c>
    </row>
    <row r="18" spans="1:3" ht="15.95" customHeight="1">
      <c r="A18" s="9" t="s">
        <v>175</v>
      </c>
      <c r="B18" s="5">
        <v>1</v>
      </c>
      <c r="C18" s="6">
        <f t="shared" si="0"/>
        <v>3.125E-2</v>
      </c>
    </row>
    <row r="19" spans="1:3" ht="15.95" customHeight="1">
      <c r="A19" s="9" t="s">
        <v>176</v>
      </c>
      <c r="B19" s="5">
        <v>1</v>
      </c>
      <c r="C19" s="6">
        <f t="shared" si="0"/>
        <v>3.125E-2</v>
      </c>
    </row>
    <row r="20" spans="1:3" ht="15.95" customHeight="1">
      <c r="A20" s="9" t="s">
        <v>177</v>
      </c>
      <c r="B20" s="5">
        <v>1</v>
      </c>
      <c r="C20" s="6">
        <f t="shared" si="0"/>
        <v>3.125E-2</v>
      </c>
    </row>
    <row r="21" spans="1:3" ht="48" customHeight="1">
      <c r="A21" s="9" t="s">
        <v>178</v>
      </c>
      <c r="B21" s="5">
        <v>1</v>
      </c>
      <c r="C21" s="6">
        <f t="shared" si="0"/>
        <v>3.125E-2</v>
      </c>
    </row>
    <row r="22" spans="1:3" ht="15.95" customHeight="1">
      <c r="A22" s="9" t="s">
        <v>179</v>
      </c>
      <c r="B22" s="5">
        <v>1</v>
      </c>
      <c r="C22" s="6">
        <f t="shared" si="0"/>
        <v>3.125E-2</v>
      </c>
    </row>
    <row r="23" spans="1:3" ht="48" customHeight="1">
      <c r="A23" s="9" t="s">
        <v>180</v>
      </c>
      <c r="B23" s="5">
        <v>1</v>
      </c>
      <c r="C23" s="6">
        <f t="shared" si="0"/>
        <v>3.125E-2</v>
      </c>
    </row>
    <row r="24" spans="1:3" ht="15.95" customHeight="1">
      <c r="A24" s="9" t="s">
        <v>181</v>
      </c>
      <c r="B24" s="5">
        <v>1</v>
      </c>
      <c r="C24" s="6">
        <f t="shared" si="0"/>
        <v>3.125E-2</v>
      </c>
    </row>
    <row r="25" spans="1:3" ht="48" customHeight="1">
      <c r="A25" s="9" t="s">
        <v>182</v>
      </c>
      <c r="B25" s="5">
        <v>1</v>
      </c>
      <c r="C25" s="6">
        <f t="shared" si="0"/>
        <v>3.125E-2</v>
      </c>
    </row>
    <row r="26" spans="1:3" ht="48" customHeight="1">
      <c r="A26" s="9" t="s">
        <v>183</v>
      </c>
      <c r="B26" s="5">
        <v>1</v>
      </c>
      <c r="C26" s="6">
        <f t="shared" si="0"/>
        <v>3.125E-2</v>
      </c>
    </row>
    <row r="27" spans="1:3" ht="32.1" customHeight="1">
      <c r="A27" s="9" t="s">
        <v>184</v>
      </c>
      <c r="B27" s="5">
        <v>1</v>
      </c>
      <c r="C27" s="6">
        <f t="shared" si="0"/>
        <v>3.125E-2</v>
      </c>
    </row>
    <row r="28" spans="1:3" ht="63.95" customHeight="1">
      <c r="A28" s="9" t="s">
        <v>185</v>
      </c>
      <c r="B28" s="5">
        <v>1</v>
      </c>
      <c r="C28" s="6">
        <f t="shared" si="0"/>
        <v>3.125E-2</v>
      </c>
    </row>
    <row r="29" spans="1:3" ht="63.95" customHeight="1">
      <c r="A29" s="9" t="s">
        <v>186</v>
      </c>
      <c r="B29" s="5">
        <v>1</v>
      </c>
      <c r="C29" s="6">
        <f t="shared" si="0"/>
        <v>3.125E-2</v>
      </c>
    </row>
    <row r="30" spans="1:3" ht="15.95" customHeight="1">
      <c r="A30" s="9" t="s">
        <v>187</v>
      </c>
      <c r="B30" s="5">
        <v>1</v>
      </c>
      <c r="C30" s="6">
        <f t="shared" si="0"/>
        <v>3.125E-2</v>
      </c>
    </row>
    <row r="31" spans="1:3" ht="48" customHeight="1">
      <c r="A31" s="9" t="s">
        <v>188</v>
      </c>
      <c r="B31" s="5">
        <v>1</v>
      </c>
      <c r="C31" s="6">
        <f t="shared" si="0"/>
        <v>3.125E-2</v>
      </c>
    </row>
    <row r="32" spans="1:3" ht="96" customHeight="1">
      <c r="A32" s="9" t="s">
        <v>189</v>
      </c>
      <c r="B32" s="5">
        <v>1</v>
      </c>
      <c r="C32" s="6">
        <f t="shared" si="0"/>
        <v>3.125E-2</v>
      </c>
    </row>
    <row r="33" spans="1:3" ht="48" customHeight="1">
      <c r="A33" s="9" t="s">
        <v>190</v>
      </c>
      <c r="B33" s="5">
        <v>1</v>
      </c>
      <c r="C33" s="6">
        <f t="shared" si="0"/>
        <v>3.125E-2</v>
      </c>
    </row>
    <row r="34" spans="1:3" ht="80.099999999999994" customHeight="1">
      <c r="A34" s="9" t="s">
        <v>191</v>
      </c>
      <c r="B34" s="5">
        <v>1</v>
      </c>
      <c r="C34" s="6">
        <f t="shared" si="0"/>
        <v>3.125E-2</v>
      </c>
    </row>
    <row r="35" spans="1:3" ht="15.95" customHeight="1">
      <c r="A35" s="9" t="s">
        <v>192</v>
      </c>
      <c r="B35" s="5">
        <v>1</v>
      </c>
      <c r="C35" s="6">
        <f t="shared" si="0"/>
        <v>3.125E-2</v>
      </c>
    </row>
    <row r="36" spans="1:3">
      <c r="A36" s="7" t="s">
        <v>130</v>
      </c>
      <c r="B36" s="2">
        <f>SUM(B4:B35)</f>
        <v>32</v>
      </c>
      <c r="C36" s="8">
        <f>SUM(C4:C35)</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8"/>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35</v>
      </c>
      <c r="C1" s="4"/>
    </row>
    <row r="2" spans="1:4">
      <c r="A2" s="4"/>
      <c r="B2" s="4"/>
      <c r="C2" s="4"/>
      <c r="D2" t="s">
        <v>123</v>
      </c>
    </row>
    <row r="3" spans="1:4">
      <c r="A3" s="2" t="s">
        <v>124</v>
      </c>
      <c r="B3" s="2" t="s">
        <v>125</v>
      </c>
      <c r="C3" s="2" t="s">
        <v>126</v>
      </c>
    </row>
    <row r="4" spans="1:4">
      <c r="A4" s="3" t="s">
        <v>155</v>
      </c>
      <c r="B4" s="5">
        <v>11</v>
      </c>
      <c r="C4" s="6">
        <f>IFERROR(B4/SUM($B$4:$B$7),0)</f>
        <v>0.34375</v>
      </c>
    </row>
    <row r="5" spans="1:4">
      <c r="A5" s="3" t="s">
        <v>156</v>
      </c>
      <c r="B5" s="5">
        <v>16</v>
      </c>
      <c r="C5" s="6">
        <f>IFERROR(B5/SUM($B$4:$B$7),0)</f>
        <v>0.5</v>
      </c>
    </row>
    <row r="6" spans="1:4">
      <c r="A6" s="3" t="s">
        <v>160</v>
      </c>
      <c r="B6" s="5">
        <v>1</v>
      </c>
      <c r="C6" s="6">
        <f>IFERROR(B6/SUM($B$4:$B$7),0)</f>
        <v>3.125E-2</v>
      </c>
    </row>
    <row r="7" spans="1:4">
      <c r="A7" s="3" t="s">
        <v>157</v>
      </c>
      <c r="B7" s="5">
        <v>4</v>
      </c>
      <c r="C7" s="6">
        <f>IFERROR(B7/SUM($B$4:$B$7),0)</f>
        <v>0.125</v>
      </c>
    </row>
    <row r="8" spans="1:4">
      <c r="A8" s="7" t="s">
        <v>130</v>
      </c>
      <c r="B8" s="2">
        <f>SUM(B4:B7)</f>
        <v>32</v>
      </c>
      <c r="C8" s="8">
        <f>SUM(C4:C7)</f>
        <v>1</v>
      </c>
    </row>
  </sheetData>
  <pageMargins left="0.75" right="0.75" top="1" bottom="1" header="0.5" footer="0.5"/>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8"/>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37</v>
      </c>
      <c r="C1" s="4"/>
    </row>
    <row r="2" spans="1:4">
      <c r="A2" s="4"/>
      <c r="B2" s="4"/>
      <c r="C2" s="4"/>
      <c r="D2" t="s">
        <v>123</v>
      </c>
    </row>
    <row r="3" spans="1:4">
      <c r="A3" s="2" t="s">
        <v>124</v>
      </c>
      <c r="B3" s="2" t="s">
        <v>125</v>
      </c>
      <c r="C3" s="2" t="s">
        <v>126</v>
      </c>
    </row>
    <row r="4" spans="1:4">
      <c r="A4" s="3" t="s">
        <v>155</v>
      </c>
      <c r="B4" s="5">
        <v>10</v>
      </c>
      <c r="C4" s="6">
        <f>IFERROR(B4/SUM($B$4:$B$7),0)</f>
        <v>0.3125</v>
      </c>
    </row>
    <row r="5" spans="1:4">
      <c r="A5" s="3" t="s">
        <v>156</v>
      </c>
      <c r="B5" s="5">
        <v>16</v>
      </c>
      <c r="C5" s="6">
        <f>IFERROR(B5/SUM($B$4:$B$7),0)</f>
        <v>0.5</v>
      </c>
    </row>
    <row r="6" spans="1:4">
      <c r="A6" s="3" t="s">
        <v>157</v>
      </c>
      <c r="B6" s="5">
        <v>4</v>
      </c>
      <c r="C6" s="6">
        <f>IFERROR(B6/SUM($B$4:$B$7),0)</f>
        <v>0.125</v>
      </c>
    </row>
    <row r="7" spans="1:4">
      <c r="A7" s="3" t="s">
        <v>158</v>
      </c>
      <c r="B7" s="5">
        <v>2</v>
      </c>
      <c r="C7" s="6">
        <f>IFERROR(B7/SUM($B$4:$B$7),0)</f>
        <v>6.25E-2</v>
      </c>
    </row>
    <row r="8" spans="1:4">
      <c r="A8" s="7" t="s">
        <v>130</v>
      </c>
      <c r="B8" s="2">
        <f>SUM(B4:B7)</f>
        <v>32</v>
      </c>
      <c r="C8" s="8">
        <f>SUM(C4:C7)</f>
        <v>1</v>
      </c>
    </row>
  </sheetData>
  <pageMargins left="0.75" right="0.75" top="1" bottom="1" header="0.5" footer="0.5"/>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8"/>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39</v>
      </c>
      <c r="C1" s="4"/>
    </row>
    <row r="2" spans="1:4">
      <c r="A2" s="4"/>
      <c r="B2" s="4"/>
      <c r="C2" s="4"/>
      <c r="D2" t="s">
        <v>123</v>
      </c>
    </row>
    <row r="3" spans="1:4">
      <c r="A3" s="2" t="s">
        <v>124</v>
      </c>
      <c r="B3" s="2" t="s">
        <v>125</v>
      </c>
      <c r="C3" s="2" t="s">
        <v>126</v>
      </c>
    </row>
    <row r="4" spans="1:4">
      <c r="A4" s="3" t="s">
        <v>155</v>
      </c>
      <c r="B4" s="5">
        <v>11</v>
      </c>
      <c r="C4" s="6">
        <f>IFERROR(B4/SUM($B$4:$B$7),0)</f>
        <v>0.34375</v>
      </c>
    </row>
    <row r="5" spans="1:4">
      <c r="A5" s="3" t="s">
        <v>156</v>
      </c>
      <c r="B5" s="5">
        <v>13</v>
      </c>
      <c r="C5" s="6">
        <f>IFERROR(B5/SUM($B$4:$B$7),0)</f>
        <v>0.40625</v>
      </c>
    </row>
    <row r="6" spans="1:4">
      <c r="A6" s="3" t="s">
        <v>157</v>
      </c>
      <c r="B6" s="5">
        <v>7</v>
      </c>
      <c r="C6" s="6">
        <f>IFERROR(B6/SUM($B$4:$B$7),0)</f>
        <v>0.21875</v>
      </c>
    </row>
    <row r="7" spans="1:4">
      <c r="A7" s="3" t="s">
        <v>158</v>
      </c>
      <c r="B7" s="5">
        <v>1</v>
      </c>
      <c r="C7" s="6">
        <f>IFERROR(B7/SUM($B$4:$B$7),0)</f>
        <v>3.125E-2</v>
      </c>
    </row>
    <row r="8" spans="1:4">
      <c r="A8" s="7" t="s">
        <v>130</v>
      </c>
      <c r="B8" s="2">
        <f>SUM(B4:B7)</f>
        <v>32</v>
      </c>
      <c r="C8" s="8">
        <f>SUM(C4:C7)</f>
        <v>1</v>
      </c>
    </row>
  </sheetData>
  <pageMargins left="0.75" right="0.75" top="1" bottom="1" header="0.5" footer="0.5"/>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9"/>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41</v>
      </c>
      <c r="C1" s="4"/>
    </row>
    <row r="2" spans="1:4">
      <c r="A2" s="4"/>
      <c r="B2" s="4"/>
      <c r="C2" s="4"/>
      <c r="D2" t="s">
        <v>123</v>
      </c>
    </row>
    <row r="3" spans="1:4">
      <c r="A3" s="2" t="s">
        <v>124</v>
      </c>
      <c r="B3" s="2" t="s">
        <v>125</v>
      </c>
      <c r="C3" s="2" t="s">
        <v>126</v>
      </c>
    </row>
    <row r="4" spans="1:4">
      <c r="A4" s="3" t="s">
        <v>155</v>
      </c>
      <c r="B4" s="5">
        <v>8</v>
      </c>
      <c r="C4" s="6">
        <f>IFERROR(B4/SUM($B$4:$B$8),0)</f>
        <v>0.25</v>
      </c>
    </row>
    <row r="5" spans="1:4">
      <c r="A5" s="3" t="s">
        <v>156</v>
      </c>
      <c r="B5" s="5">
        <v>17</v>
      </c>
      <c r="C5" s="6">
        <f>IFERROR(B5/SUM($B$4:$B$8),0)</f>
        <v>0.53125</v>
      </c>
    </row>
    <row r="6" spans="1:4">
      <c r="A6" s="3" t="s">
        <v>160</v>
      </c>
      <c r="B6" s="5">
        <v>3</v>
      </c>
      <c r="C6" s="6">
        <f>IFERROR(B6/SUM($B$4:$B$8),0)</f>
        <v>9.375E-2</v>
      </c>
    </row>
    <row r="7" spans="1:4">
      <c r="A7" s="3" t="s">
        <v>157</v>
      </c>
      <c r="B7" s="5">
        <v>3</v>
      </c>
      <c r="C7" s="6">
        <f>IFERROR(B7/SUM($B$4:$B$8),0)</f>
        <v>9.375E-2</v>
      </c>
    </row>
    <row r="8" spans="1:4">
      <c r="A8" s="3" t="s">
        <v>158</v>
      </c>
      <c r="B8" s="5">
        <v>1</v>
      </c>
      <c r="C8" s="6">
        <f>IFERROR(B8/SUM($B$4:$B$8),0)</f>
        <v>3.125E-2</v>
      </c>
    </row>
    <row r="9" spans="1:4">
      <c r="A9" s="7" t="s">
        <v>130</v>
      </c>
      <c r="B9" s="2">
        <f>SUM(B4:B8)</f>
        <v>32</v>
      </c>
      <c r="C9" s="8">
        <f>SUM(C4:C8)</f>
        <v>1</v>
      </c>
    </row>
  </sheetData>
  <pageMargins left="0.75" right="0.75" top="1" bottom="1" header="0.5" footer="0.5"/>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9"/>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43</v>
      </c>
      <c r="C1" s="4"/>
    </row>
    <row r="2" spans="1:4">
      <c r="A2" s="4"/>
      <c r="B2" s="4"/>
      <c r="C2" s="4"/>
      <c r="D2" t="s">
        <v>123</v>
      </c>
    </row>
    <row r="3" spans="1:4">
      <c r="A3" s="2" t="s">
        <v>124</v>
      </c>
      <c r="B3" s="2" t="s">
        <v>125</v>
      </c>
      <c r="C3" s="2" t="s">
        <v>126</v>
      </c>
    </row>
    <row r="4" spans="1:4">
      <c r="A4" s="3" t="s">
        <v>155</v>
      </c>
      <c r="B4" s="5">
        <v>13</v>
      </c>
      <c r="C4" s="6">
        <f>IFERROR(B4/SUM($B$4:$B$8),0)</f>
        <v>0.40625</v>
      </c>
    </row>
    <row r="5" spans="1:4">
      <c r="A5" s="3" t="s">
        <v>156</v>
      </c>
      <c r="B5" s="5">
        <v>10</v>
      </c>
      <c r="C5" s="6">
        <f>IFERROR(B5/SUM($B$4:$B$8),0)</f>
        <v>0.3125</v>
      </c>
    </row>
    <row r="6" spans="1:4">
      <c r="A6" s="3" t="s">
        <v>160</v>
      </c>
      <c r="B6" s="5">
        <v>3</v>
      </c>
      <c r="C6" s="6">
        <f>IFERROR(B6/SUM($B$4:$B$8),0)</f>
        <v>9.375E-2</v>
      </c>
    </row>
    <row r="7" spans="1:4">
      <c r="A7" s="3" t="s">
        <v>157</v>
      </c>
      <c r="B7" s="5">
        <v>4</v>
      </c>
      <c r="C7" s="6">
        <f>IFERROR(B7/SUM($B$4:$B$8),0)</f>
        <v>0.125</v>
      </c>
    </row>
    <row r="8" spans="1:4">
      <c r="A8" s="3" t="s">
        <v>158</v>
      </c>
      <c r="B8" s="5">
        <v>2</v>
      </c>
      <c r="C8" s="6">
        <f>IFERROR(B8/SUM($B$4:$B$8),0)</f>
        <v>6.25E-2</v>
      </c>
    </row>
    <row r="9" spans="1:4">
      <c r="A9" s="7" t="s">
        <v>130</v>
      </c>
      <c r="B9" s="2">
        <f>SUM(B4:B8)</f>
        <v>32</v>
      </c>
      <c r="C9" s="8">
        <f>SUM(C4:C8)</f>
        <v>1</v>
      </c>
    </row>
  </sheetData>
  <pageMargins left="0.75" right="0.75" top="1" bottom="1" header="0.5" footer="0.5"/>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9"/>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45</v>
      </c>
      <c r="C1" s="4"/>
    </row>
    <row r="2" spans="1:4">
      <c r="A2" s="4"/>
      <c r="B2" s="4"/>
      <c r="C2" s="4"/>
      <c r="D2" t="s">
        <v>123</v>
      </c>
    </row>
    <row r="3" spans="1:4">
      <c r="A3" s="2" t="s">
        <v>124</v>
      </c>
      <c r="B3" s="2" t="s">
        <v>125</v>
      </c>
      <c r="C3" s="2" t="s">
        <v>126</v>
      </c>
    </row>
    <row r="4" spans="1:4">
      <c r="A4" s="3" t="s">
        <v>155</v>
      </c>
      <c r="B4" s="5">
        <v>9</v>
      </c>
      <c r="C4" s="6">
        <f>IFERROR(B4/SUM($B$4:$B$8),0)</f>
        <v>0.28125</v>
      </c>
    </row>
    <row r="5" spans="1:4">
      <c r="A5" s="3" t="s">
        <v>156</v>
      </c>
      <c r="B5" s="5">
        <v>13</v>
      </c>
      <c r="C5" s="6">
        <f>IFERROR(B5/SUM($B$4:$B$8),0)</f>
        <v>0.40625</v>
      </c>
    </row>
    <row r="6" spans="1:4">
      <c r="A6" s="3" t="s">
        <v>160</v>
      </c>
      <c r="B6" s="5">
        <v>2</v>
      </c>
      <c r="C6" s="6">
        <f>IFERROR(B6/SUM($B$4:$B$8),0)</f>
        <v>6.25E-2</v>
      </c>
    </row>
    <row r="7" spans="1:4">
      <c r="A7" s="3" t="s">
        <v>157</v>
      </c>
      <c r="B7" s="5">
        <v>5</v>
      </c>
      <c r="C7" s="6">
        <f>IFERROR(B7/SUM($B$4:$B$8),0)</f>
        <v>0.15625</v>
      </c>
    </row>
    <row r="8" spans="1:4">
      <c r="A8" s="3" t="s">
        <v>158</v>
      </c>
      <c r="B8" s="5">
        <v>3</v>
      </c>
      <c r="C8" s="6">
        <f>IFERROR(B8/SUM($B$4:$B$8),0)</f>
        <v>9.375E-2</v>
      </c>
    </row>
    <row r="9" spans="1:4">
      <c r="A9" s="7" t="s">
        <v>130</v>
      </c>
      <c r="B9" s="2">
        <f>SUM(B4:B8)</f>
        <v>32</v>
      </c>
      <c r="C9" s="8">
        <f>SUM(C4:C8)</f>
        <v>1</v>
      </c>
    </row>
  </sheetData>
  <pageMargins left="0.75" right="0.75" top="1" bottom="1" header="0.5" footer="0.5"/>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9"/>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47</v>
      </c>
      <c r="C1" s="4"/>
    </row>
    <row r="2" spans="1:4">
      <c r="A2" s="4"/>
      <c r="B2" s="4"/>
      <c r="C2" s="4"/>
      <c r="D2" t="s">
        <v>123</v>
      </c>
    </row>
    <row r="3" spans="1:4">
      <c r="A3" s="2" t="s">
        <v>124</v>
      </c>
      <c r="B3" s="2" t="s">
        <v>125</v>
      </c>
      <c r="C3" s="2" t="s">
        <v>126</v>
      </c>
    </row>
    <row r="4" spans="1:4">
      <c r="A4" s="3" t="s">
        <v>155</v>
      </c>
      <c r="B4" s="5">
        <v>10</v>
      </c>
      <c r="C4" s="6">
        <f>IFERROR(B4/SUM($B$4:$B$8),0)</f>
        <v>0.3125</v>
      </c>
    </row>
    <row r="5" spans="1:4">
      <c r="A5" s="3" t="s">
        <v>156</v>
      </c>
      <c r="B5" s="5">
        <v>7</v>
      </c>
      <c r="C5" s="6">
        <f>IFERROR(B5/SUM($B$4:$B$8),0)</f>
        <v>0.21875</v>
      </c>
    </row>
    <row r="6" spans="1:4">
      <c r="A6" s="3" t="s">
        <v>160</v>
      </c>
      <c r="B6" s="5">
        <v>3</v>
      </c>
      <c r="C6" s="6">
        <f>IFERROR(B6/SUM($B$4:$B$8),0)</f>
        <v>9.375E-2</v>
      </c>
    </row>
    <row r="7" spans="1:4">
      <c r="A7" s="3" t="s">
        <v>157</v>
      </c>
      <c r="B7" s="5">
        <v>9</v>
      </c>
      <c r="C7" s="6">
        <f>IFERROR(B7/SUM($B$4:$B$8),0)</f>
        <v>0.28125</v>
      </c>
    </row>
    <row r="8" spans="1:4">
      <c r="A8" s="3" t="s">
        <v>158</v>
      </c>
      <c r="B8" s="5">
        <v>3</v>
      </c>
      <c r="C8" s="6">
        <f>IFERROR(B8/SUM($B$4:$B$8),0)</f>
        <v>9.375E-2</v>
      </c>
    </row>
    <row r="9" spans="1:4">
      <c r="A9" s="7" t="s">
        <v>130</v>
      </c>
      <c r="B9" s="2">
        <f>SUM(B4:B8)</f>
        <v>32</v>
      </c>
      <c r="C9" s="8">
        <f>SUM(C4:C8)</f>
        <v>1</v>
      </c>
    </row>
  </sheetData>
  <pageMargins left="0.75" right="0.75" top="1" bottom="1" header="0.5" footer="0.5"/>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9"/>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49</v>
      </c>
      <c r="C1" s="4"/>
    </row>
    <row r="2" spans="1:4">
      <c r="A2" s="4"/>
      <c r="B2" s="4"/>
      <c r="C2" s="4"/>
      <c r="D2" t="s">
        <v>123</v>
      </c>
    </row>
    <row r="3" spans="1:4">
      <c r="A3" s="2" t="s">
        <v>124</v>
      </c>
      <c r="B3" s="2" t="s">
        <v>125</v>
      </c>
      <c r="C3" s="2" t="s">
        <v>126</v>
      </c>
    </row>
    <row r="4" spans="1:4">
      <c r="A4" s="3" t="s">
        <v>155</v>
      </c>
      <c r="B4" s="5">
        <v>11</v>
      </c>
      <c r="C4" s="6">
        <f>IFERROR(B4/SUM($B$4:$B$8),0)</f>
        <v>0.34375</v>
      </c>
    </row>
    <row r="5" spans="1:4">
      <c r="A5" s="3" t="s">
        <v>156</v>
      </c>
      <c r="B5" s="5">
        <v>8</v>
      </c>
      <c r="C5" s="6">
        <f>IFERROR(B5/SUM($B$4:$B$8),0)</f>
        <v>0.25</v>
      </c>
    </row>
    <row r="6" spans="1:4">
      <c r="A6" s="3" t="s">
        <v>160</v>
      </c>
      <c r="B6" s="5">
        <v>3</v>
      </c>
      <c r="C6" s="6">
        <f>IFERROR(B6/SUM($B$4:$B$8),0)</f>
        <v>9.375E-2</v>
      </c>
    </row>
    <row r="7" spans="1:4">
      <c r="A7" s="3" t="s">
        <v>157</v>
      </c>
      <c r="B7" s="5">
        <v>9</v>
      </c>
      <c r="C7" s="6">
        <f>IFERROR(B7/SUM($B$4:$B$8),0)</f>
        <v>0.28125</v>
      </c>
    </row>
    <row r="8" spans="1:4">
      <c r="A8" s="3" t="s">
        <v>158</v>
      </c>
      <c r="B8" s="5">
        <v>1</v>
      </c>
      <c r="C8" s="6">
        <f>IFERROR(B8/SUM($B$4:$B$8),0)</f>
        <v>3.125E-2</v>
      </c>
    </row>
    <row r="9" spans="1:4">
      <c r="A9" s="7" t="s">
        <v>130</v>
      </c>
      <c r="B9" s="2">
        <f>SUM(B4:B8)</f>
        <v>32</v>
      </c>
      <c r="C9" s="8">
        <f>SUM(C4:C8)</f>
        <v>1</v>
      </c>
    </row>
  </sheetData>
  <pageMargins left="0.75" right="0.75" top="1" bottom="1" header="0.5" footer="0.5"/>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9"/>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51</v>
      </c>
      <c r="C1" s="4"/>
    </row>
    <row r="2" spans="1:4">
      <c r="A2" s="4"/>
      <c r="B2" s="4"/>
      <c r="C2" s="4"/>
      <c r="D2" t="s">
        <v>123</v>
      </c>
    </row>
    <row r="3" spans="1:4">
      <c r="A3" s="2" t="s">
        <v>124</v>
      </c>
      <c r="B3" s="2" t="s">
        <v>125</v>
      </c>
      <c r="C3" s="2" t="s">
        <v>126</v>
      </c>
    </row>
    <row r="4" spans="1:4">
      <c r="A4" s="3" t="s">
        <v>155</v>
      </c>
      <c r="B4" s="5">
        <v>8</v>
      </c>
      <c r="C4" s="6">
        <f>IFERROR(B4/SUM($B$4:$B$8),0)</f>
        <v>0.25</v>
      </c>
    </row>
    <row r="5" spans="1:4">
      <c r="A5" s="3" t="s">
        <v>156</v>
      </c>
      <c r="B5" s="5">
        <v>10</v>
      </c>
      <c r="C5" s="6">
        <f>IFERROR(B5/SUM($B$4:$B$8),0)</f>
        <v>0.3125</v>
      </c>
    </row>
    <row r="6" spans="1:4">
      <c r="A6" s="3" t="s">
        <v>160</v>
      </c>
      <c r="B6" s="5">
        <v>2</v>
      </c>
      <c r="C6" s="6">
        <f>IFERROR(B6/SUM($B$4:$B$8),0)</f>
        <v>6.25E-2</v>
      </c>
    </row>
    <row r="7" spans="1:4">
      <c r="A7" s="3" t="s">
        <v>157</v>
      </c>
      <c r="B7" s="5">
        <v>8</v>
      </c>
      <c r="C7" s="6">
        <f>IFERROR(B7/SUM($B$4:$B$8),0)</f>
        <v>0.25</v>
      </c>
    </row>
    <row r="8" spans="1:4">
      <c r="A8" s="3" t="s">
        <v>158</v>
      </c>
      <c r="B8" s="5">
        <v>4</v>
      </c>
      <c r="C8" s="6">
        <f>IFERROR(B8/SUM($B$4:$B$8),0)</f>
        <v>0.125</v>
      </c>
    </row>
    <row r="9" spans="1:4">
      <c r="A9" s="7" t="s">
        <v>130</v>
      </c>
      <c r="B9" s="2">
        <f>SUM(B4:B8)</f>
        <v>32</v>
      </c>
      <c r="C9" s="8">
        <f>SUM(C4:C8)</f>
        <v>1</v>
      </c>
    </row>
  </sheetData>
  <pageMargins left="0.75" right="0.75" top="1" bottom="1" header="0.5" footer="0.5"/>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8"/>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53</v>
      </c>
      <c r="C1" s="4"/>
    </row>
    <row r="2" spans="1:4">
      <c r="A2" s="4"/>
      <c r="B2" s="4"/>
      <c r="C2" s="4"/>
      <c r="D2" t="s">
        <v>123</v>
      </c>
    </row>
    <row r="3" spans="1:4">
      <c r="A3" s="2" t="s">
        <v>124</v>
      </c>
      <c r="B3" s="2" t="s">
        <v>125</v>
      </c>
      <c r="C3" s="2" t="s">
        <v>126</v>
      </c>
    </row>
    <row r="4" spans="1:4">
      <c r="A4" s="3" t="s">
        <v>155</v>
      </c>
      <c r="B4" s="5">
        <v>13</v>
      </c>
      <c r="C4" s="6">
        <f>IFERROR(B4/SUM($B$4:$B$7),0)</f>
        <v>0.40625</v>
      </c>
    </row>
    <row r="5" spans="1:4">
      <c r="A5" s="3" t="s">
        <v>156</v>
      </c>
      <c r="B5" s="5">
        <v>16</v>
      </c>
      <c r="C5" s="6">
        <f>IFERROR(B5/SUM($B$4:$B$7),0)</f>
        <v>0.5</v>
      </c>
    </row>
    <row r="6" spans="1:4">
      <c r="A6" s="3" t="s">
        <v>157</v>
      </c>
      <c r="B6" s="5">
        <v>2</v>
      </c>
      <c r="C6" s="6">
        <f>IFERROR(B6/SUM($B$4:$B$7),0)</f>
        <v>6.25E-2</v>
      </c>
    </row>
    <row r="7" spans="1:4">
      <c r="A7" s="3" t="s">
        <v>158</v>
      </c>
      <c r="B7" s="5">
        <v>1</v>
      </c>
      <c r="C7" s="6">
        <f>IFERROR(B7/SUM($B$4:$B$7),0)</f>
        <v>3.125E-2</v>
      </c>
    </row>
    <row r="8" spans="1:4">
      <c r="A8" s="7" t="s">
        <v>130</v>
      </c>
      <c r="B8" s="2">
        <f>SUM(B4:B7)</f>
        <v>32</v>
      </c>
      <c r="C8" s="8">
        <f>SUM(C4:C7)</f>
        <v>1</v>
      </c>
    </row>
  </sheetData>
  <pageMargins left="0.75" right="0.75" top="1" bottom="1" header="0.5" footer="0.5"/>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8"/>
  <sheetViews>
    <sheetView workbookViewId="0">
      <selection activeCell="C5" sqref="C5"/>
    </sheetView>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55</v>
      </c>
      <c r="C1" s="4"/>
    </row>
    <row r="2" spans="1:4">
      <c r="A2" s="4"/>
      <c r="B2" s="4"/>
      <c r="C2" s="4"/>
      <c r="D2" t="s">
        <v>123</v>
      </c>
    </row>
    <row r="3" spans="1:4">
      <c r="A3" s="2" t="s">
        <v>124</v>
      </c>
      <c r="B3" s="2" t="s">
        <v>125</v>
      </c>
      <c r="C3" s="2" t="s">
        <v>126</v>
      </c>
    </row>
    <row r="4" spans="1:4">
      <c r="A4" s="3" t="s">
        <v>155</v>
      </c>
      <c r="B4" s="5">
        <v>25</v>
      </c>
      <c r="C4" s="6">
        <f>IFERROR(B4/SUM($B$4:$B$7),0)</f>
        <v>0.78125</v>
      </c>
    </row>
    <row r="5" spans="1:4">
      <c r="A5" s="3" t="s">
        <v>156</v>
      </c>
      <c r="B5" s="5">
        <v>4</v>
      </c>
      <c r="C5" s="6">
        <f>IFERROR(B5/SUM($B$4:$B$7),0)</f>
        <v>0.125</v>
      </c>
    </row>
    <row r="6" spans="1:4">
      <c r="A6" s="3" t="s">
        <v>160</v>
      </c>
      <c r="B6" s="5">
        <v>1</v>
      </c>
      <c r="C6" s="6">
        <f>IFERROR(B6/SUM($B$4:$B$7),0)</f>
        <v>3.125E-2</v>
      </c>
    </row>
    <row r="7" spans="1:4">
      <c r="A7" s="3" t="s">
        <v>157</v>
      </c>
      <c r="B7" s="5">
        <v>2</v>
      </c>
      <c r="C7" s="6">
        <f>IFERROR(B7/SUM($B$4:$B$7),0)</f>
        <v>6.25E-2</v>
      </c>
    </row>
    <row r="8" spans="1:4">
      <c r="A8" s="7" t="s">
        <v>130</v>
      </c>
      <c r="B8" s="2">
        <f>SUM(B4:B7)</f>
        <v>32</v>
      </c>
      <c r="C8" s="8">
        <f>SUM(C4:C7)</f>
        <v>1</v>
      </c>
    </row>
  </sheetData>
  <pageMargins left="0.75" right="0.75" top="1" bottom="1" header="0.5" footer="0.5"/>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8"/>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57</v>
      </c>
      <c r="C1" s="4"/>
    </row>
    <row r="2" spans="1:4">
      <c r="A2" s="4"/>
      <c r="B2" s="4"/>
      <c r="C2" s="4"/>
      <c r="D2" t="s">
        <v>123</v>
      </c>
    </row>
    <row r="3" spans="1:4">
      <c r="A3" s="2" t="s">
        <v>124</v>
      </c>
      <c r="B3" s="2" t="s">
        <v>125</v>
      </c>
      <c r="C3" s="2" t="s">
        <v>126</v>
      </c>
    </row>
    <row r="4" spans="1:4">
      <c r="A4" s="3" t="s">
        <v>155</v>
      </c>
      <c r="B4" s="5">
        <v>12</v>
      </c>
      <c r="C4" s="6">
        <f>IFERROR(B4/SUM($B$4:$B$7),0)</f>
        <v>0.375</v>
      </c>
    </row>
    <row r="5" spans="1:4">
      <c r="A5" s="3" t="s">
        <v>156</v>
      </c>
      <c r="B5" s="5">
        <v>17</v>
      </c>
      <c r="C5" s="6">
        <f>IFERROR(B5/SUM($B$4:$B$7),0)</f>
        <v>0.53125</v>
      </c>
    </row>
    <row r="6" spans="1:4">
      <c r="A6" s="3" t="s">
        <v>157</v>
      </c>
      <c r="B6" s="5">
        <v>2</v>
      </c>
      <c r="C6" s="6">
        <f>IFERROR(B6/SUM($B$4:$B$7),0)</f>
        <v>6.25E-2</v>
      </c>
    </row>
    <row r="7" spans="1:4">
      <c r="A7" s="3" t="s">
        <v>158</v>
      </c>
      <c r="B7" s="5">
        <v>1</v>
      </c>
      <c r="C7" s="6">
        <f>IFERROR(B7/SUM($B$4:$B$7),0)</f>
        <v>3.125E-2</v>
      </c>
    </row>
    <row r="8" spans="1:4">
      <c r="A8" s="7" t="s">
        <v>130</v>
      </c>
      <c r="B8" s="2">
        <f>SUM(B4:B7)</f>
        <v>32</v>
      </c>
      <c r="C8" s="8">
        <f>SUM(C4:C7)</f>
        <v>1</v>
      </c>
    </row>
  </sheetData>
  <pageMargins left="0.75" right="0.75" top="1" bottom="1" header="0.5" footer="0.5"/>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33"/>
  <sheetViews>
    <sheetView workbookViewId="0">
      <selection activeCell="L29" sqref="L29"/>
    </sheetView>
  </sheetViews>
  <sheetFormatPr defaultColWidth="8.85546875" defaultRowHeight="15"/>
  <cols>
    <col min="1" max="1" width="56.85546875" style="13" customWidth="1"/>
    <col min="2" max="2" width="12" customWidth="1"/>
    <col min="3" max="3" width="14" customWidth="1"/>
    <col min="4" max="4" width="13" hidden="1" customWidth="1"/>
  </cols>
  <sheetData>
    <row r="1" spans="1:4" ht="15.95" customHeight="1">
      <c r="A1" s="10" t="s">
        <v>122</v>
      </c>
      <c r="B1" s="3" t="s">
        <v>59</v>
      </c>
      <c r="C1" s="4"/>
    </row>
    <row r="2" spans="1:4">
      <c r="A2" s="11"/>
      <c r="B2" s="4"/>
      <c r="C2" s="4"/>
      <c r="D2" t="s">
        <v>123</v>
      </c>
    </row>
    <row r="3" spans="1:4" ht="15.95" customHeight="1">
      <c r="A3" s="10" t="s">
        <v>124</v>
      </c>
      <c r="B3" s="2" t="s">
        <v>125</v>
      </c>
      <c r="C3" s="2" t="s">
        <v>126</v>
      </c>
    </row>
    <row r="4" spans="1:4" ht="15.95" customHeight="1">
      <c r="A4" s="9" t="s">
        <v>193</v>
      </c>
      <c r="B4" s="5">
        <v>3</v>
      </c>
      <c r="C4" s="6">
        <f t="shared" ref="C4:C32" si="0">IFERROR(B4/SUM($B$4:$B$32),0)</f>
        <v>9.375E-2</v>
      </c>
    </row>
    <row r="5" spans="1:4" ht="15.95" customHeight="1">
      <c r="A5" s="9" t="s">
        <v>194</v>
      </c>
      <c r="B5" s="5">
        <v>2</v>
      </c>
      <c r="C5" s="6">
        <f t="shared" si="0"/>
        <v>6.25E-2</v>
      </c>
    </row>
    <row r="6" spans="1:4" ht="15.95" customHeight="1">
      <c r="A6" s="9" t="s">
        <v>195</v>
      </c>
      <c r="B6" s="5">
        <v>1</v>
      </c>
      <c r="C6" s="6">
        <f t="shared" si="0"/>
        <v>3.125E-2</v>
      </c>
    </row>
    <row r="7" spans="1:4" ht="15.95" customHeight="1">
      <c r="A7" s="9" t="s">
        <v>176</v>
      </c>
      <c r="B7" s="5">
        <v>1</v>
      </c>
      <c r="C7" s="6">
        <f t="shared" si="0"/>
        <v>3.125E-2</v>
      </c>
    </row>
    <row r="8" spans="1:4" ht="15.95" customHeight="1">
      <c r="A8" s="9" t="s">
        <v>196</v>
      </c>
      <c r="B8" s="5">
        <v>1</v>
      </c>
      <c r="C8" s="6">
        <f t="shared" si="0"/>
        <v>3.125E-2</v>
      </c>
    </row>
    <row r="9" spans="1:4" ht="15.95" customHeight="1">
      <c r="A9" s="9" t="s">
        <v>197</v>
      </c>
      <c r="B9" s="5">
        <v>1</v>
      </c>
      <c r="C9" s="6">
        <f t="shared" si="0"/>
        <v>3.125E-2</v>
      </c>
    </row>
    <row r="10" spans="1:4" ht="15.95" customHeight="1">
      <c r="A10" s="9" t="s">
        <v>198</v>
      </c>
      <c r="B10" s="5">
        <v>1</v>
      </c>
      <c r="C10" s="6">
        <f t="shared" si="0"/>
        <v>3.125E-2</v>
      </c>
    </row>
    <row r="11" spans="1:4" ht="15.95" customHeight="1">
      <c r="A11" s="9" t="s">
        <v>199</v>
      </c>
      <c r="B11" s="5">
        <v>1</v>
      </c>
      <c r="C11" s="6">
        <f t="shared" si="0"/>
        <v>3.125E-2</v>
      </c>
    </row>
    <row r="12" spans="1:4" ht="32.1" customHeight="1">
      <c r="A12" s="9" t="s">
        <v>200</v>
      </c>
      <c r="B12" s="5">
        <v>1</v>
      </c>
      <c r="C12" s="6">
        <f t="shared" si="0"/>
        <v>3.125E-2</v>
      </c>
    </row>
    <row r="13" spans="1:4" ht="15.95" customHeight="1">
      <c r="A13" s="9" t="s">
        <v>201</v>
      </c>
      <c r="B13" s="5">
        <v>1</v>
      </c>
      <c r="C13" s="6">
        <f t="shared" si="0"/>
        <v>3.125E-2</v>
      </c>
    </row>
    <row r="14" spans="1:4" ht="15.95" customHeight="1">
      <c r="A14" s="9" t="s">
        <v>202</v>
      </c>
      <c r="B14" s="5">
        <v>1</v>
      </c>
      <c r="C14" s="6">
        <f t="shared" si="0"/>
        <v>3.125E-2</v>
      </c>
    </row>
    <row r="15" spans="1:4" ht="32.1" customHeight="1">
      <c r="A15" s="9" t="s">
        <v>203</v>
      </c>
      <c r="B15" s="5">
        <v>1</v>
      </c>
      <c r="C15" s="6">
        <f t="shared" si="0"/>
        <v>3.125E-2</v>
      </c>
    </row>
    <row r="16" spans="1:4" ht="32.1" customHeight="1">
      <c r="A16" s="9" t="s">
        <v>204</v>
      </c>
      <c r="B16" s="5">
        <v>1</v>
      </c>
      <c r="C16" s="6">
        <f t="shared" si="0"/>
        <v>3.125E-2</v>
      </c>
    </row>
    <row r="17" spans="1:3" ht="96" customHeight="1">
      <c r="A17" s="9" t="s">
        <v>205</v>
      </c>
      <c r="B17" s="5">
        <v>1</v>
      </c>
      <c r="C17" s="6">
        <f t="shared" si="0"/>
        <v>3.125E-2</v>
      </c>
    </row>
    <row r="18" spans="1:3" ht="15.95" customHeight="1">
      <c r="A18" s="9" t="s">
        <v>206</v>
      </c>
      <c r="B18" s="5">
        <v>1</v>
      </c>
      <c r="C18" s="6">
        <f t="shared" si="0"/>
        <v>3.125E-2</v>
      </c>
    </row>
    <row r="19" spans="1:3" ht="32.1" customHeight="1">
      <c r="A19" s="9" t="s">
        <v>207</v>
      </c>
      <c r="B19" s="5">
        <v>1</v>
      </c>
      <c r="C19" s="6">
        <f t="shared" si="0"/>
        <v>3.125E-2</v>
      </c>
    </row>
    <row r="20" spans="1:3" ht="15.95" customHeight="1">
      <c r="A20" s="9" t="s">
        <v>208</v>
      </c>
      <c r="B20" s="5">
        <v>1</v>
      </c>
      <c r="C20" s="6">
        <f t="shared" si="0"/>
        <v>3.125E-2</v>
      </c>
    </row>
    <row r="21" spans="1:3" ht="15.95" customHeight="1">
      <c r="A21" s="9" t="s">
        <v>209</v>
      </c>
      <c r="B21" s="5">
        <v>1</v>
      </c>
      <c r="C21" s="6">
        <f t="shared" si="0"/>
        <v>3.125E-2</v>
      </c>
    </row>
    <row r="22" spans="1:3" ht="15.95" customHeight="1">
      <c r="A22" s="9" t="s">
        <v>210</v>
      </c>
      <c r="B22" s="5">
        <v>1</v>
      </c>
      <c r="C22" s="6">
        <f t="shared" si="0"/>
        <v>3.125E-2</v>
      </c>
    </row>
    <row r="23" spans="1:3" ht="32.1" customHeight="1">
      <c r="A23" s="9" t="s">
        <v>211</v>
      </c>
      <c r="B23" s="5">
        <v>1</v>
      </c>
      <c r="C23" s="6">
        <f t="shared" si="0"/>
        <v>3.125E-2</v>
      </c>
    </row>
    <row r="24" spans="1:3" ht="15.95" customHeight="1">
      <c r="A24" s="9" t="s">
        <v>212</v>
      </c>
      <c r="B24" s="5">
        <v>1</v>
      </c>
      <c r="C24" s="6">
        <f t="shared" si="0"/>
        <v>3.125E-2</v>
      </c>
    </row>
    <row r="25" spans="1:3" ht="48" customHeight="1">
      <c r="A25" s="9" t="s">
        <v>213</v>
      </c>
      <c r="B25" s="5">
        <v>1</v>
      </c>
      <c r="C25" s="6">
        <f t="shared" si="0"/>
        <v>3.125E-2</v>
      </c>
    </row>
    <row r="26" spans="1:3" ht="111.95" customHeight="1">
      <c r="A26" s="9" t="s">
        <v>214</v>
      </c>
      <c r="B26" s="5">
        <v>1</v>
      </c>
      <c r="C26" s="6">
        <f t="shared" si="0"/>
        <v>3.125E-2</v>
      </c>
    </row>
    <row r="27" spans="1:3" ht="15.95" customHeight="1">
      <c r="A27" s="9" t="s">
        <v>215</v>
      </c>
      <c r="B27" s="5">
        <v>1</v>
      </c>
      <c r="C27" s="6">
        <f t="shared" si="0"/>
        <v>3.125E-2</v>
      </c>
    </row>
    <row r="28" spans="1:3" ht="32.1" customHeight="1">
      <c r="A28" s="9" t="s">
        <v>216</v>
      </c>
      <c r="B28" s="5">
        <v>1</v>
      </c>
      <c r="C28" s="6">
        <f t="shared" si="0"/>
        <v>3.125E-2</v>
      </c>
    </row>
    <row r="29" spans="1:3" ht="48" customHeight="1">
      <c r="A29" s="9" t="s">
        <v>217</v>
      </c>
      <c r="B29" s="5">
        <v>1</v>
      </c>
      <c r="C29" s="6">
        <f t="shared" si="0"/>
        <v>3.125E-2</v>
      </c>
    </row>
    <row r="30" spans="1:3" ht="48" customHeight="1">
      <c r="A30" s="9" t="s">
        <v>218</v>
      </c>
      <c r="B30" s="5">
        <v>1</v>
      </c>
      <c r="C30" s="6">
        <f t="shared" si="0"/>
        <v>3.125E-2</v>
      </c>
    </row>
    <row r="31" spans="1:3" ht="48" customHeight="1">
      <c r="A31" s="9" t="s">
        <v>219</v>
      </c>
      <c r="B31" s="5">
        <v>1</v>
      </c>
      <c r="C31" s="6">
        <f t="shared" si="0"/>
        <v>3.125E-2</v>
      </c>
    </row>
    <row r="32" spans="1:3" ht="15.95" customHeight="1">
      <c r="A32" s="9" t="s">
        <v>220</v>
      </c>
      <c r="B32" s="5">
        <v>1</v>
      </c>
      <c r="C32" s="6">
        <f t="shared" si="0"/>
        <v>3.125E-2</v>
      </c>
    </row>
    <row r="33" spans="1:3" ht="15.95" customHeight="1">
      <c r="A33" s="12" t="s">
        <v>130</v>
      </c>
      <c r="B33" s="2">
        <f>SUM(B4:B32)</f>
        <v>32</v>
      </c>
      <c r="C33" s="8">
        <f>SUM(C4:C32)</f>
        <v>1</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8"/>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61</v>
      </c>
      <c r="C1" s="4"/>
    </row>
    <row r="2" spans="1:4">
      <c r="A2" s="4"/>
      <c r="B2" s="4"/>
      <c r="C2" s="4"/>
      <c r="D2" t="s">
        <v>123</v>
      </c>
    </row>
    <row r="3" spans="1:4">
      <c r="A3" s="2" t="s">
        <v>124</v>
      </c>
      <c r="B3" s="2" t="s">
        <v>125</v>
      </c>
      <c r="C3" s="2" t="s">
        <v>126</v>
      </c>
    </row>
    <row r="4" spans="1:4">
      <c r="A4" s="3" t="s">
        <v>155</v>
      </c>
      <c r="B4" s="5">
        <v>6</v>
      </c>
      <c r="C4" s="6">
        <f>IFERROR(B4/SUM($B$4:$B$7),0)</f>
        <v>0.1875</v>
      </c>
    </row>
    <row r="5" spans="1:4">
      <c r="A5" s="3" t="s">
        <v>156</v>
      </c>
      <c r="B5" s="5">
        <v>11</v>
      </c>
      <c r="C5" s="6">
        <f>IFERROR(B5/SUM($B$4:$B$7),0)</f>
        <v>0.34375</v>
      </c>
    </row>
    <row r="6" spans="1:4">
      <c r="A6" s="3" t="s">
        <v>160</v>
      </c>
      <c r="B6" s="5">
        <v>2</v>
      </c>
      <c r="C6" s="6">
        <f>IFERROR(B6/SUM($B$4:$B$7),0)</f>
        <v>6.25E-2</v>
      </c>
    </row>
    <row r="7" spans="1:4">
      <c r="A7" s="3" t="s">
        <v>157</v>
      </c>
      <c r="B7" s="5">
        <v>13</v>
      </c>
      <c r="C7" s="6">
        <f>IFERROR(B7/SUM($B$4:$B$7),0)</f>
        <v>0.40625</v>
      </c>
    </row>
    <row r="8" spans="1:4">
      <c r="A8" s="7" t="s">
        <v>130</v>
      </c>
      <c r="B8" s="2">
        <f>SUM(B4:B7)</f>
        <v>32</v>
      </c>
      <c r="C8" s="8">
        <f>SUM(C4:C7)</f>
        <v>1</v>
      </c>
    </row>
  </sheetData>
  <pageMargins left="0.75" right="0.75" top="1" bottom="1" header="0.5" footer="0.5"/>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9"/>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63</v>
      </c>
      <c r="C1" s="4"/>
    </row>
    <row r="2" spans="1:4">
      <c r="A2" s="4"/>
      <c r="B2" s="4"/>
      <c r="C2" s="4"/>
      <c r="D2" t="s">
        <v>123</v>
      </c>
    </row>
    <row r="3" spans="1:4">
      <c r="A3" s="2" t="s">
        <v>124</v>
      </c>
      <c r="B3" s="2" t="s">
        <v>125</v>
      </c>
      <c r="C3" s="2" t="s">
        <v>126</v>
      </c>
    </row>
    <row r="4" spans="1:4">
      <c r="A4" s="3" t="s">
        <v>155</v>
      </c>
      <c r="B4" s="5">
        <v>6</v>
      </c>
      <c r="C4" s="6">
        <f>IFERROR(B4/SUM($B$4:$B$8),0)</f>
        <v>0.1875</v>
      </c>
    </row>
    <row r="5" spans="1:4">
      <c r="A5" s="3" t="s">
        <v>156</v>
      </c>
      <c r="B5" s="5">
        <v>8</v>
      </c>
      <c r="C5" s="6">
        <f>IFERROR(B5/SUM($B$4:$B$8),0)</f>
        <v>0.25</v>
      </c>
    </row>
    <row r="6" spans="1:4">
      <c r="A6" s="3" t="s">
        <v>160</v>
      </c>
      <c r="B6" s="5">
        <v>1</v>
      </c>
      <c r="C6" s="6">
        <f>IFERROR(B6/SUM($B$4:$B$8),0)</f>
        <v>3.125E-2</v>
      </c>
    </row>
    <row r="7" spans="1:4">
      <c r="A7" s="3" t="s">
        <v>157</v>
      </c>
      <c r="B7" s="5">
        <v>16</v>
      </c>
      <c r="C7" s="6">
        <f>IFERROR(B7/SUM($B$4:$B$8),0)</f>
        <v>0.5</v>
      </c>
    </row>
    <row r="8" spans="1:4">
      <c r="A8" s="3" t="s">
        <v>159</v>
      </c>
      <c r="B8" s="5">
        <v>1</v>
      </c>
      <c r="C8" s="6">
        <f>IFERROR(B8/SUM($B$4:$B$8),0)</f>
        <v>3.125E-2</v>
      </c>
    </row>
    <row r="9" spans="1:4">
      <c r="A9" s="7" t="s">
        <v>130</v>
      </c>
      <c r="B9" s="2">
        <f>SUM(B4:B8)</f>
        <v>32</v>
      </c>
      <c r="C9" s="8">
        <f>SUM(C4:C8)</f>
        <v>1</v>
      </c>
    </row>
  </sheetData>
  <pageMargins left="0.75" right="0.75" top="1" bottom="1" header="0.5" footer="0.5"/>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D8"/>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65</v>
      </c>
      <c r="C1" s="4"/>
    </row>
    <row r="2" spans="1:4">
      <c r="A2" s="4"/>
      <c r="B2" s="4"/>
      <c r="C2" s="4"/>
      <c r="D2" t="s">
        <v>123</v>
      </c>
    </row>
    <row r="3" spans="1:4">
      <c r="A3" s="2" t="s">
        <v>124</v>
      </c>
      <c r="B3" s="2" t="s">
        <v>125</v>
      </c>
      <c r="C3" s="2" t="s">
        <v>126</v>
      </c>
    </row>
    <row r="4" spans="1:4">
      <c r="A4" s="3" t="s">
        <v>155</v>
      </c>
      <c r="B4" s="5">
        <v>4</v>
      </c>
      <c r="C4" s="6">
        <f>IFERROR(B4/SUM($B$4:$B$7),0)</f>
        <v>0.125</v>
      </c>
    </row>
    <row r="5" spans="1:4">
      <c r="A5" s="3" t="s">
        <v>156</v>
      </c>
      <c r="B5" s="5">
        <v>14</v>
      </c>
      <c r="C5" s="6">
        <f>IFERROR(B5/SUM($B$4:$B$7),0)</f>
        <v>0.4375</v>
      </c>
    </row>
    <row r="6" spans="1:4">
      <c r="A6" s="3" t="s">
        <v>160</v>
      </c>
      <c r="B6" s="5">
        <v>4</v>
      </c>
      <c r="C6" s="6">
        <f>IFERROR(B6/SUM($B$4:$B$7),0)</f>
        <v>0.125</v>
      </c>
    </row>
    <row r="7" spans="1:4">
      <c r="A7" s="3" t="s">
        <v>157</v>
      </c>
      <c r="B7" s="5">
        <v>10</v>
      </c>
      <c r="C7" s="6">
        <f>IFERROR(B7/SUM($B$4:$B$7),0)</f>
        <v>0.3125</v>
      </c>
    </row>
    <row r="8" spans="1:4">
      <c r="A8" s="7" t="s">
        <v>130</v>
      </c>
      <c r="B8" s="2">
        <f>SUM(B4:B7)</f>
        <v>32</v>
      </c>
      <c r="C8" s="8">
        <f>SUM(C4:C7)</f>
        <v>1</v>
      </c>
    </row>
  </sheetData>
  <pageMargins left="0.75" right="0.75" top="1" bottom="1" header="0.5" footer="0.5"/>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D9"/>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67</v>
      </c>
      <c r="C1" s="4"/>
    </row>
    <row r="2" spans="1:4">
      <c r="A2" s="4"/>
      <c r="B2" s="4"/>
      <c r="C2" s="4"/>
      <c r="D2" t="s">
        <v>123</v>
      </c>
    </row>
    <row r="3" spans="1:4">
      <c r="A3" s="2" t="s">
        <v>124</v>
      </c>
      <c r="B3" s="2" t="s">
        <v>125</v>
      </c>
      <c r="C3" s="2" t="s">
        <v>126</v>
      </c>
    </row>
    <row r="4" spans="1:4">
      <c r="A4" s="3" t="s">
        <v>155</v>
      </c>
      <c r="B4" s="5">
        <v>6</v>
      </c>
      <c r="C4" s="6">
        <f>IFERROR(B4/SUM($B$4:$B$8),0)</f>
        <v>0.1875</v>
      </c>
    </row>
    <row r="5" spans="1:4">
      <c r="A5" s="3" t="s">
        <v>156</v>
      </c>
      <c r="B5" s="5">
        <v>9</v>
      </c>
      <c r="C5" s="6">
        <f>IFERROR(B5/SUM($B$4:$B$8),0)</f>
        <v>0.28125</v>
      </c>
    </row>
    <row r="6" spans="1:4">
      <c r="A6" s="3" t="s">
        <v>160</v>
      </c>
      <c r="B6" s="5">
        <v>2</v>
      </c>
      <c r="C6" s="6">
        <f>IFERROR(B6/SUM($B$4:$B$8),0)</f>
        <v>6.25E-2</v>
      </c>
    </row>
    <row r="7" spans="1:4">
      <c r="A7" s="3" t="s">
        <v>157</v>
      </c>
      <c r="B7" s="5">
        <v>14</v>
      </c>
      <c r="C7" s="6">
        <f>IFERROR(B7/SUM($B$4:$B$8),0)</f>
        <v>0.4375</v>
      </c>
    </row>
    <row r="8" spans="1:4">
      <c r="A8" s="3" t="s">
        <v>159</v>
      </c>
      <c r="B8" s="5">
        <v>1</v>
      </c>
      <c r="C8" s="6">
        <f>IFERROR(B8/SUM($B$4:$B$8),0)</f>
        <v>3.125E-2</v>
      </c>
    </row>
    <row r="9" spans="1:4">
      <c r="A9" s="7" t="s">
        <v>130</v>
      </c>
      <c r="B9" s="2">
        <f>SUM(B4:B8)</f>
        <v>32</v>
      </c>
      <c r="C9" s="8">
        <f>SUM(C4:C8)</f>
        <v>1</v>
      </c>
    </row>
  </sheetData>
  <pageMargins left="0.75" right="0.75" top="1" bottom="1" header="0.5" footer="0.5"/>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9"/>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69</v>
      </c>
      <c r="C1" s="4"/>
    </row>
    <row r="2" spans="1:4">
      <c r="A2" s="4"/>
      <c r="B2" s="4"/>
      <c r="C2" s="4"/>
      <c r="D2" t="s">
        <v>123</v>
      </c>
    </row>
    <row r="3" spans="1:4">
      <c r="A3" s="2" t="s">
        <v>124</v>
      </c>
      <c r="B3" s="2" t="s">
        <v>125</v>
      </c>
      <c r="C3" s="2" t="s">
        <v>126</v>
      </c>
    </row>
    <row r="4" spans="1:4">
      <c r="A4" s="3" t="s">
        <v>155</v>
      </c>
      <c r="B4" s="5">
        <v>8</v>
      </c>
      <c r="C4" s="6">
        <f>IFERROR(B4/SUM($B$4:$B$8),0)</f>
        <v>0.25</v>
      </c>
    </row>
    <row r="5" spans="1:4">
      <c r="A5" s="3" t="s">
        <v>156</v>
      </c>
      <c r="B5" s="5">
        <v>7</v>
      </c>
      <c r="C5" s="6">
        <f>IFERROR(B5/SUM($B$4:$B$8),0)</f>
        <v>0.21875</v>
      </c>
    </row>
    <row r="6" spans="1:4">
      <c r="A6" s="3" t="s">
        <v>160</v>
      </c>
      <c r="B6" s="5">
        <v>2</v>
      </c>
      <c r="C6" s="6">
        <f>IFERROR(B6/SUM($B$4:$B$8),0)</f>
        <v>6.25E-2</v>
      </c>
    </row>
    <row r="7" spans="1:4">
      <c r="A7" s="3" t="s">
        <v>157</v>
      </c>
      <c r="B7" s="5">
        <v>14</v>
      </c>
      <c r="C7" s="6">
        <f>IFERROR(B7/SUM($B$4:$B$8),0)</f>
        <v>0.4375</v>
      </c>
    </row>
    <row r="8" spans="1:4">
      <c r="A8" s="3" t="s">
        <v>159</v>
      </c>
      <c r="B8" s="5">
        <v>1</v>
      </c>
      <c r="C8" s="6">
        <f>IFERROR(B8/SUM($B$4:$B$8),0)</f>
        <v>3.125E-2</v>
      </c>
    </row>
    <row r="9" spans="1:4">
      <c r="A9" s="7" t="s">
        <v>130</v>
      </c>
      <c r="B9" s="2">
        <f>SUM(B4:B8)</f>
        <v>32</v>
      </c>
      <c r="C9" s="8">
        <f>SUM(C4:C8)</f>
        <v>1</v>
      </c>
    </row>
  </sheetData>
  <pageMargins left="0.75" right="0.75" top="1" bottom="1" header="0.5" footer="0.5"/>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8"/>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71</v>
      </c>
      <c r="C1" s="4"/>
    </row>
    <row r="2" spans="1:4">
      <c r="A2" s="4"/>
      <c r="B2" s="4"/>
      <c r="C2" s="4"/>
      <c r="D2" t="s">
        <v>123</v>
      </c>
    </row>
    <row r="3" spans="1:4">
      <c r="A3" s="2" t="s">
        <v>124</v>
      </c>
      <c r="B3" s="2" t="s">
        <v>125</v>
      </c>
      <c r="C3" s="2" t="s">
        <v>126</v>
      </c>
    </row>
    <row r="4" spans="1:4">
      <c r="A4" s="3" t="s">
        <v>155</v>
      </c>
      <c r="B4" s="5">
        <v>5</v>
      </c>
      <c r="C4" s="6">
        <f>IFERROR(B4/SUM($B$4:$B$7),0)</f>
        <v>0.15625</v>
      </c>
    </row>
    <row r="5" spans="1:4">
      <c r="A5" s="3" t="s">
        <v>156</v>
      </c>
      <c r="B5" s="5">
        <v>13</v>
      </c>
      <c r="C5" s="6">
        <f>IFERROR(B5/SUM($B$4:$B$7),0)</f>
        <v>0.40625</v>
      </c>
    </row>
    <row r="6" spans="1:4">
      <c r="A6" s="3" t="s">
        <v>160</v>
      </c>
      <c r="B6" s="5">
        <v>4</v>
      </c>
      <c r="C6" s="6">
        <f>IFERROR(B6/SUM($B$4:$B$7),0)</f>
        <v>0.125</v>
      </c>
    </row>
    <row r="7" spans="1:4">
      <c r="A7" s="3" t="s">
        <v>157</v>
      </c>
      <c r="B7" s="5">
        <v>10</v>
      </c>
      <c r="C7" s="6">
        <f>IFERROR(B7/SUM($B$4:$B$7),0)</f>
        <v>0.3125</v>
      </c>
    </row>
    <row r="8" spans="1:4">
      <c r="A8" s="7" t="s">
        <v>130</v>
      </c>
      <c r="B8" s="2">
        <f>SUM(B4:B7)</f>
        <v>32</v>
      </c>
      <c r="C8" s="8">
        <f>SUM(C4:C7)</f>
        <v>1</v>
      </c>
    </row>
  </sheetData>
  <pageMargins left="0.75" right="0.75" top="1" bottom="1" header="0.5" footer="0.5"/>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9"/>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73</v>
      </c>
      <c r="C1" s="4"/>
    </row>
    <row r="2" spans="1:4">
      <c r="A2" s="4"/>
      <c r="B2" s="4"/>
      <c r="C2" s="4"/>
      <c r="D2" t="s">
        <v>123</v>
      </c>
    </row>
    <row r="3" spans="1:4">
      <c r="A3" s="2" t="s">
        <v>124</v>
      </c>
      <c r="B3" s="2" t="s">
        <v>125</v>
      </c>
      <c r="C3" s="2" t="s">
        <v>126</v>
      </c>
    </row>
    <row r="4" spans="1:4">
      <c r="A4" s="3" t="s">
        <v>155</v>
      </c>
      <c r="B4" s="5">
        <v>2</v>
      </c>
      <c r="C4" s="6">
        <f>IFERROR(B4/SUM($B$4:$B$8),0)</f>
        <v>6.25E-2</v>
      </c>
    </row>
    <row r="5" spans="1:4">
      <c r="A5" s="3" t="s">
        <v>156</v>
      </c>
      <c r="B5" s="5">
        <v>10</v>
      </c>
      <c r="C5" s="6">
        <f>IFERROR(B5/SUM($B$4:$B$8),0)</f>
        <v>0.3125</v>
      </c>
    </row>
    <row r="6" spans="1:4">
      <c r="A6" s="3" t="s">
        <v>160</v>
      </c>
      <c r="B6" s="5">
        <v>6</v>
      </c>
      <c r="C6" s="6">
        <f>IFERROR(B6/SUM($B$4:$B$8),0)</f>
        <v>0.1875</v>
      </c>
    </row>
    <row r="7" spans="1:4">
      <c r="A7" s="3" t="s">
        <v>157</v>
      </c>
      <c r="B7" s="5">
        <v>11</v>
      </c>
      <c r="C7" s="6">
        <f>IFERROR(B7/SUM($B$4:$B$8),0)</f>
        <v>0.34375</v>
      </c>
    </row>
    <row r="8" spans="1:4">
      <c r="A8" s="3" t="s">
        <v>159</v>
      </c>
      <c r="B8" s="5">
        <v>3</v>
      </c>
      <c r="C8" s="6">
        <f>IFERROR(B8/SUM($B$4:$B$8),0)</f>
        <v>9.375E-2</v>
      </c>
    </row>
    <row r="9" spans="1:4">
      <c r="A9" s="7" t="s">
        <v>130</v>
      </c>
      <c r="B9" s="2">
        <f>SUM(B4:B8)</f>
        <v>32</v>
      </c>
      <c r="C9" s="8">
        <f>SUM(C4:C8)</f>
        <v>1</v>
      </c>
    </row>
  </sheetData>
  <pageMargins left="0.75" right="0.75" top="1" bottom="1" header="0.5" footer="0.5"/>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D9"/>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75</v>
      </c>
      <c r="C1" s="4"/>
    </row>
    <row r="2" spans="1:4">
      <c r="A2" s="4"/>
      <c r="B2" s="4"/>
      <c r="C2" s="4"/>
      <c r="D2" t="s">
        <v>123</v>
      </c>
    </row>
    <row r="3" spans="1:4">
      <c r="A3" s="2" t="s">
        <v>124</v>
      </c>
      <c r="B3" s="2" t="s">
        <v>125</v>
      </c>
      <c r="C3" s="2" t="s">
        <v>126</v>
      </c>
    </row>
    <row r="4" spans="1:4">
      <c r="A4" s="3" t="s">
        <v>155</v>
      </c>
      <c r="B4" s="5">
        <v>4</v>
      </c>
      <c r="C4" s="6">
        <f>IFERROR(B4/SUM($B$4:$B$8),0)</f>
        <v>0.125</v>
      </c>
    </row>
    <row r="5" spans="1:4">
      <c r="A5" s="3" t="s">
        <v>156</v>
      </c>
      <c r="B5" s="5">
        <v>8</v>
      </c>
      <c r="C5" s="6">
        <f>IFERROR(B5/SUM($B$4:$B$8),0)</f>
        <v>0.25</v>
      </c>
    </row>
    <row r="6" spans="1:4">
      <c r="A6" s="3" t="s">
        <v>160</v>
      </c>
      <c r="B6" s="5">
        <v>5</v>
      </c>
      <c r="C6" s="6">
        <f>IFERROR(B6/SUM($B$4:$B$8),0)</f>
        <v>0.15625</v>
      </c>
    </row>
    <row r="7" spans="1:4">
      <c r="A7" s="3" t="s">
        <v>157</v>
      </c>
      <c r="B7" s="5">
        <v>14</v>
      </c>
      <c r="C7" s="6">
        <f>IFERROR(B7/SUM($B$4:$B$8),0)</f>
        <v>0.4375</v>
      </c>
    </row>
    <row r="8" spans="1:4">
      <c r="A8" s="3" t="s">
        <v>159</v>
      </c>
      <c r="B8" s="5">
        <v>1</v>
      </c>
      <c r="C8" s="6">
        <f>IFERROR(B8/SUM($B$4:$B$8),0)</f>
        <v>3.125E-2</v>
      </c>
    </row>
    <row r="9" spans="1:4">
      <c r="A9" s="7" t="s">
        <v>130</v>
      </c>
      <c r="B9" s="2">
        <f>SUM(B4:B8)</f>
        <v>32</v>
      </c>
      <c r="C9" s="8">
        <f>SUM(C4:C8)</f>
        <v>1</v>
      </c>
    </row>
  </sheetData>
  <pageMargins left="0.75" right="0.75" top="1" bottom="1" header="0.5" footer="0.5"/>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D8"/>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77</v>
      </c>
      <c r="C1" s="4"/>
    </row>
    <row r="2" spans="1:4">
      <c r="A2" s="4"/>
      <c r="B2" s="4"/>
      <c r="C2" s="4"/>
      <c r="D2" t="s">
        <v>123</v>
      </c>
    </row>
    <row r="3" spans="1:4">
      <c r="A3" s="2" t="s">
        <v>124</v>
      </c>
      <c r="B3" s="2" t="s">
        <v>125</v>
      </c>
      <c r="C3" s="2" t="s">
        <v>126</v>
      </c>
    </row>
    <row r="4" spans="1:4">
      <c r="A4" s="3" t="s">
        <v>155</v>
      </c>
      <c r="B4" s="5">
        <v>4</v>
      </c>
      <c r="C4" s="6">
        <f>IFERROR(B4/SUM($B$4:$B$7),0)</f>
        <v>0.125</v>
      </c>
    </row>
    <row r="5" spans="1:4">
      <c r="A5" s="3" t="s">
        <v>156</v>
      </c>
      <c r="B5" s="5">
        <v>12</v>
      </c>
      <c r="C5" s="6">
        <f>IFERROR(B5/SUM($B$4:$B$7),0)</f>
        <v>0.375</v>
      </c>
    </row>
    <row r="6" spans="1:4">
      <c r="A6" s="3" t="s">
        <v>160</v>
      </c>
      <c r="B6" s="5">
        <v>2</v>
      </c>
      <c r="C6" s="6">
        <f>IFERROR(B6/SUM($B$4:$B$7),0)</f>
        <v>6.25E-2</v>
      </c>
    </row>
    <row r="7" spans="1:4">
      <c r="A7" s="3" t="s">
        <v>157</v>
      </c>
      <c r="B7" s="5">
        <v>14</v>
      </c>
      <c r="C7" s="6">
        <f>IFERROR(B7/SUM($B$4:$B$7),0)</f>
        <v>0.4375</v>
      </c>
    </row>
    <row r="8" spans="1:4">
      <c r="A8" s="7" t="s">
        <v>130</v>
      </c>
      <c r="B8" s="2">
        <f>SUM(B4:B7)</f>
        <v>32</v>
      </c>
      <c r="C8" s="8">
        <f>SUM(C4:C7)</f>
        <v>1</v>
      </c>
    </row>
  </sheetData>
  <pageMargins left="0.75" right="0.75" top="1" bottom="1" header="0.5" footer="0.5"/>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8"/>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79</v>
      </c>
      <c r="C1" s="4"/>
    </row>
    <row r="2" spans="1:4">
      <c r="A2" s="4"/>
      <c r="B2" s="4"/>
      <c r="C2" s="4"/>
      <c r="D2" t="s">
        <v>123</v>
      </c>
    </row>
    <row r="3" spans="1:4">
      <c r="A3" s="2" t="s">
        <v>124</v>
      </c>
      <c r="B3" s="2" t="s">
        <v>125</v>
      </c>
      <c r="C3" s="2" t="s">
        <v>126</v>
      </c>
    </row>
    <row r="4" spans="1:4">
      <c r="A4" s="3" t="s">
        <v>155</v>
      </c>
      <c r="B4" s="5">
        <v>3</v>
      </c>
      <c r="C4" s="6">
        <f>IFERROR(B4/SUM($B$4:$B$7),0)</f>
        <v>9.375E-2</v>
      </c>
    </row>
    <row r="5" spans="1:4">
      <c r="A5" s="3" t="s">
        <v>156</v>
      </c>
      <c r="B5" s="5">
        <v>12</v>
      </c>
      <c r="C5" s="6">
        <f>IFERROR(B5/SUM($B$4:$B$7),0)</f>
        <v>0.375</v>
      </c>
    </row>
    <row r="6" spans="1:4">
      <c r="A6" s="3" t="s">
        <v>160</v>
      </c>
      <c r="B6" s="5">
        <v>1</v>
      </c>
      <c r="C6" s="6">
        <f>IFERROR(B6/SUM($B$4:$B$7),0)</f>
        <v>3.125E-2</v>
      </c>
    </row>
    <row r="7" spans="1:4">
      <c r="A7" s="3" t="s">
        <v>157</v>
      </c>
      <c r="B7" s="5">
        <v>16</v>
      </c>
      <c r="C7" s="6">
        <f>IFERROR(B7/SUM($B$4:$B$7),0)</f>
        <v>0.5</v>
      </c>
    </row>
    <row r="8" spans="1:4">
      <c r="A8" s="7" t="s">
        <v>130</v>
      </c>
      <c r="B8" s="2">
        <f>SUM(B4:B7)</f>
        <v>32</v>
      </c>
      <c r="C8" s="8">
        <f>SUM(C4:C7)</f>
        <v>1</v>
      </c>
    </row>
  </sheetData>
  <pageMargins left="0.75" right="0.75" top="1" bottom="1" header="0.5" footer="0.5"/>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8"/>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81</v>
      </c>
      <c r="C1" s="4"/>
    </row>
    <row r="2" spans="1:4">
      <c r="A2" s="4"/>
      <c r="B2" s="4"/>
      <c r="C2" s="4"/>
      <c r="D2" t="s">
        <v>123</v>
      </c>
    </row>
    <row r="3" spans="1:4">
      <c r="A3" s="2" t="s">
        <v>124</v>
      </c>
      <c r="B3" s="2" t="s">
        <v>125</v>
      </c>
      <c r="C3" s="2" t="s">
        <v>126</v>
      </c>
    </row>
    <row r="4" spans="1:4">
      <c r="A4" s="3" t="s">
        <v>155</v>
      </c>
      <c r="B4" s="5">
        <v>7</v>
      </c>
      <c r="C4" s="6">
        <f>IFERROR(B4/SUM($B$4:$B$7),0)</f>
        <v>0.21875</v>
      </c>
    </row>
    <row r="5" spans="1:4">
      <c r="A5" s="3" t="s">
        <v>156</v>
      </c>
      <c r="B5" s="5">
        <v>10</v>
      </c>
      <c r="C5" s="6">
        <f>IFERROR(B5/SUM($B$4:$B$7),0)</f>
        <v>0.3125</v>
      </c>
    </row>
    <row r="6" spans="1:4">
      <c r="A6" s="3" t="s">
        <v>160</v>
      </c>
      <c r="B6" s="5">
        <v>1</v>
      </c>
      <c r="C6" s="6">
        <f>IFERROR(B6/SUM($B$4:$B$7),0)</f>
        <v>3.125E-2</v>
      </c>
    </row>
    <row r="7" spans="1:4">
      <c r="A7" s="3" t="s">
        <v>157</v>
      </c>
      <c r="B7" s="5">
        <v>14</v>
      </c>
      <c r="C7" s="6">
        <f>IFERROR(B7/SUM($B$4:$B$7),0)</f>
        <v>0.4375</v>
      </c>
    </row>
    <row r="8" spans="1:4">
      <c r="A8" s="7" t="s">
        <v>130</v>
      </c>
      <c r="B8" s="2">
        <f>SUM(B4:B7)</f>
        <v>32</v>
      </c>
      <c r="C8" s="8">
        <f>SUM(C4:C7)</f>
        <v>1</v>
      </c>
    </row>
  </sheetData>
  <pageMargins left="0.75" right="0.75" top="1" bottom="1" header="0.5" footer="0.5"/>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D8"/>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83</v>
      </c>
      <c r="C1" s="4"/>
    </row>
    <row r="2" spans="1:4">
      <c r="A2" s="4"/>
      <c r="B2" s="4"/>
      <c r="C2" s="4"/>
      <c r="D2" t="s">
        <v>123</v>
      </c>
    </row>
    <row r="3" spans="1:4">
      <c r="A3" s="2" t="s">
        <v>124</v>
      </c>
      <c r="B3" s="2" t="s">
        <v>125</v>
      </c>
      <c r="C3" s="2" t="s">
        <v>126</v>
      </c>
    </row>
    <row r="4" spans="1:4">
      <c r="A4" s="3" t="s">
        <v>155</v>
      </c>
      <c r="B4" s="5">
        <v>5</v>
      </c>
      <c r="C4" s="6">
        <f>IFERROR(B4/SUM($B$4:$B$7),0)</f>
        <v>0.15625</v>
      </c>
    </row>
    <row r="5" spans="1:4">
      <c r="A5" s="3" t="s">
        <v>156</v>
      </c>
      <c r="B5" s="5">
        <v>17</v>
      </c>
      <c r="C5" s="6">
        <f>IFERROR(B5/SUM($B$4:$B$7),0)</f>
        <v>0.53125</v>
      </c>
    </row>
    <row r="6" spans="1:4">
      <c r="A6" s="3" t="s">
        <v>160</v>
      </c>
      <c r="B6" s="5">
        <v>2</v>
      </c>
      <c r="C6" s="6">
        <f>IFERROR(B6/SUM($B$4:$B$7),0)</f>
        <v>6.25E-2</v>
      </c>
    </row>
    <row r="7" spans="1:4">
      <c r="A7" s="3" t="s">
        <v>157</v>
      </c>
      <c r="B7" s="5">
        <v>8</v>
      </c>
      <c r="C7" s="6">
        <f>IFERROR(B7/SUM($B$4:$B$7),0)</f>
        <v>0.25</v>
      </c>
    </row>
    <row r="8" spans="1:4">
      <c r="A8" s="7" t="s">
        <v>130</v>
      </c>
      <c r="B8" s="2">
        <f>SUM(B4:B7)</f>
        <v>32</v>
      </c>
      <c r="C8" s="8">
        <f>SUM(C4:C7)</f>
        <v>1</v>
      </c>
    </row>
  </sheetData>
  <pageMargins left="0.75" right="0.75" top="1" bottom="1" header="0.5" footer="0.5"/>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8"/>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85</v>
      </c>
      <c r="C1" s="4"/>
    </row>
    <row r="2" spans="1:4">
      <c r="A2" s="4"/>
      <c r="B2" s="4"/>
      <c r="C2" s="4"/>
      <c r="D2" t="s">
        <v>123</v>
      </c>
    </row>
    <row r="3" spans="1:4">
      <c r="A3" s="2" t="s">
        <v>124</v>
      </c>
      <c r="B3" s="2" t="s">
        <v>125</v>
      </c>
      <c r="C3" s="2" t="s">
        <v>126</v>
      </c>
    </row>
    <row r="4" spans="1:4">
      <c r="A4" s="3" t="s">
        <v>155</v>
      </c>
      <c r="B4" s="5">
        <v>4</v>
      </c>
      <c r="C4" s="6">
        <f>IFERROR(B4/SUM($B$4:$B$7),0)</f>
        <v>0.125</v>
      </c>
    </row>
    <row r="5" spans="1:4">
      <c r="A5" s="3" t="s">
        <v>156</v>
      </c>
      <c r="B5" s="5">
        <v>11</v>
      </c>
      <c r="C5" s="6">
        <f>IFERROR(B5/SUM($B$4:$B$7),0)</f>
        <v>0.34375</v>
      </c>
    </row>
    <row r="6" spans="1:4">
      <c r="A6" s="3" t="s">
        <v>160</v>
      </c>
      <c r="B6" s="5">
        <v>3</v>
      </c>
      <c r="C6" s="6">
        <f>IFERROR(B6/SUM($B$4:$B$7),0)</f>
        <v>9.375E-2</v>
      </c>
    </row>
    <row r="7" spans="1:4">
      <c r="A7" s="3" t="s">
        <v>157</v>
      </c>
      <c r="B7" s="5">
        <v>14</v>
      </c>
      <c r="C7" s="6">
        <f>IFERROR(B7/SUM($B$4:$B$7),0)</f>
        <v>0.4375</v>
      </c>
    </row>
    <row r="8" spans="1:4">
      <c r="A8" s="7" t="s">
        <v>130</v>
      </c>
      <c r="B8" s="2">
        <f>SUM(B4:B7)</f>
        <v>32</v>
      </c>
      <c r="C8" s="8">
        <f>SUM(C4:C7)</f>
        <v>1</v>
      </c>
    </row>
  </sheetData>
  <pageMargins left="0.75" right="0.75" top="1" bottom="1" header="0.5" footer="0.5"/>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D8"/>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87</v>
      </c>
      <c r="C1" s="4"/>
    </row>
    <row r="2" spans="1:4">
      <c r="A2" s="4"/>
      <c r="B2" s="4"/>
      <c r="C2" s="4"/>
      <c r="D2" t="s">
        <v>123</v>
      </c>
    </row>
    <row r="3" spans="1:4">
      <c r="A3" s="2" t="s">
        <v>124</v>
      </c>
      <c r="B3" s="2" t="s">
        <v>125</v>
      </c>
      <c r="C3" s="2" t="s">
        <v>126</v>
      </c>
    </row>
    <row r="4" spans="1:4">
      <c r="A4" s="3" t="s">
        <v>155</v>
      </c>
      <c r="B4" s="5">
        <v>7</v>
      </c>
      <c r="C4" s="6">
        <f>IFERROR(B4/SUM($B$4:$B$7),0)</f>
        <v>0.21875</v>
      </c>
    </row>
    <row r="5" spans="1:4">
      <c r="A5" s="3" t="s">
        <v>156</v>
      </c>
      <c r="B5" s="5">
        <v>16</v>
      </c>
      <c r="C5" s="6">
        <f>IFERROR(B5/SUM($B$4:$B$7),0)</f>
        <v>0.5</v>
      </c>
    </row>
    <row r="6" spans="1:4">
      <c r="A6" s="3" t="s">
        <v>160</v>
      </c>
      <c r="B6" s="5">
        <v>3</v>
      </c>
      <c r="C6" s="6">
        <f>IFERROR(B6/SUM($B$4:$B$7),0)</f>
        <v>9.375E-2</v>
      </c>
    </row>
    <row r="7" spans="1:4">
      <c r="A7" s="3" t="s">
        <v>157</v>
      </c>
      <c r="B7" s="5">
        <v>6</v>
      </c>
      <c r="C7" s="6">
        <f>IFERROR(B7/SUM($B$4:$B$7),0)</f>
        <v>0.1875</v>
      </c>
    </row>
    <row r="8" spans="1:4">
      <c r="A8" s="7" t="s">
        <v>130</v>
      </c>
      <c r="B8" s="2">
        <f>SUM(B4:B7)</f>
        <v>32</v>
      </c>
      <c r="C8" s="8">
        <f>SUM(C4:C7)</f>
        <v>1</v>
      </c>
    </row>
  </sheetData>
  <pageMargins left="0.75" right="0.75" top="1" bottom="1" header="0.5" footer="0.5"/>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D9"/>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89</v>
      </c>
      <c r="C1" s="4"/>
    </row>
    <row r="2" spans="1:4">
      <c r="A2" s="4"/>
      <c r="B2" s="4"/>
      <c r="C2" s="4"/>
      <c r="D2" t="s">
        <v>123</v>
      </c>
    </row>
    <row r="3" spans="1:4">
      <c r="A3" s="2" t="s">
        <v>124</v>
      </c>
      <c r="B3" s="2" t="s">
        <v>125</v>
      </c>
      <c r="C3" s="2" t="s">
        <v>126</v>
      </c>
    </row>
    <row r="4" spans="1:4">
      <c r="A4" s="3" t="s">
        <v>155</v>
      </c>
      <c r="B4" s="5">
        <v>8</v>
      </c>
      <c r="C4" s="6">
        <f>IFERROR(B4/SUM($B$4:$B$8),0)</f>
        <v>0.25</v>
      </c>
    </row>
    <row r="5" spans="1:4">
      <c r="A5" s="3" t="s">
        <v>156</v>
      </c>
      <c r="B5" s="5">
        <v>13</v>
      </c>
      <c r="C5" s="6">
        <f>IFERROR(B5/SUM($B$4:$B$8),0)</f>
        <v>0.40625</v>
      </c>
    </row>
    <row r="6" spans="1:4">
      <c r="A6" s="3" t="s">
        <v>160</v>
      </c>
      <c r="B6" s="5">
        <v>2</v>
      </c>
      <c r="C6" s="6">
        <f>IFERROR(B6/SUM($B$4:$B$8),0)</f>
        <v>6.25E-2</v>
      </c>
    </row>
    <row r="7" spans="1:4">
      <c r="A7" s="3" t="s">
        <v>157</v>
      </c>
      <c r="B7" s="5">
        <v>7</v>
      </c>
      <c r="C7" s="6">
        <f>IFERROR(B7/SUM($B$4:$B$8),0)</f>
        <v>0.21875</v>
      </c>
    </row>
    <row r="8" spans="1:4">
      <c r="A8" s="3" t="s">
        <v>159</v>
      </c>
      <c r="B8" s="5">
        <v>2</v>
      </c>
      <c r="C8" s="6">
        <f>IFERROR(B8/SUM($B$4:$B$8),0)</f>
        <v>6.25E-2</v>
      </c>
    </row>
    <row r="9" spans="1:4">
      <c r="A9" s="7" t="s">
        <v>130</v>
      </c>
      <c r="B9" s="2">
        <f>SUM(B4:B8)</f>
        <v>32</v>
      </c>
      <c r="C9" s="8">
        <f>SUM(C4:C8)</f>
        <v>1</v>
      </c>
    </row>
  </sheetData>
  <pageMargins left="0.75" right="0.75" top="1" bottom="1" header="0.5" footer="0.5"/>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D7"/>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91</v>
      </c>
      <c r="C1" s="4"/>
    </row>
    <row r="2" spans="1:4">
      <c r="A2" s="4"/>
      <c r="B2" s="4"/>
      <c r="C2" s="4"/>
      <c r="D2" t="s">
        <v>123</v>
      </c>
    </row>
    <row r="3" spans="1:4">
      <c r="A3" s="2" t="s">
        <v>124</v>
      </c>
      <c r="B3" s="2" t="s">
        <v>125</v>
      </c>
      <c r="C3" s="2" t="s">
        <v>126</v>
      </c>
    </row>
    <row r="4" spans="1:4">
      <c r="A4" s="3" t="s">
        <v>221</v>
      </c>
      <c r="B4" s="5">
        <v>22</v>
      </c>
      <c r="C4" s="6">
        <f>IFERROR(B4/SUM($B$4:$B$6),0)</f>
        <v>0.6875</v>
      </c>
    </row>
    <row r="5" spans="1:4">
      <c r="A5" s="3" t="s">
        <v>222</v>
      </c>
      <c r="B5" s="5">
        <v>9</v>
      </c>
      <c r="C5" s="6">
        <f>IFERROR(B5/SUM($B$4:$B$6),0)</f>
        <v>0.28125</v>
      </c>
    </row>
    <row r="6" spans="1:4">
      <c r="A6" s="3" t="s">
        <v>223</v>
      </c>
      <c r="B6" s="5">
        <v>1</v>
      </c>
      <c r="C6" s="6">
        <f>IFERROR(B6/SUM($B$4:$B$6),0)</f>
        <v>3.125E-2</v>
      </c>
    </row>
    <row r="7" spans="1:4">
      <c r="A7" s="7" t="s">
        <v>130</v>
      </c>
      <c r="B7" s="2">
        <f>SUM(B4:B6)</f>
        <v>32</v>
      </c>
      <c r="C7" s="8">
        <f>SUM(C4:C6)</f>
        <v>1</v>
      </c>
    </row>
  </sheetData>
  <pageMargins left="0.75" right="0.75" top="1" bottom="1" header="0.5" footer="0.5"/>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D6"/>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93</v>
      </c>
      <c r="C1" s="4"/>
    </row>
    <row r="2" spans="1:4">
      <c r="A2" s="4"/>
      <c r="B2" s="4"/>
      <c r="C2" s="4"/>
      <c r="D2" t="s">
        <v>123</v>
      </c>
    </row>
    <row r="3" spans="1:4">
      <c r="A3" s="2" t="s">
        <v>124</v>
      </c>
      <c r="B3" s="2" t="s">
        <v>125</v>
      </c>
      <c r="C3" s="2" t="s">
        <v>126</v>
      </c>
    </row>
    <row r="4" spans="1:4">
      <c r="A4" s="3" t="s">
        <v>224</v>
      </c>
      <c r="B4" s="5">
        <v>22</v>
      </c>
      <c r="C4" s="6">
        <f>IFERROR(B4/SUM($B$4:$B$5),0)</f>
        <v>0.6875</v>
      </c>
    </row>
    <row r="5" spans="1:4">
      <c r="A5" s="3" t="s">
        <v>225</v>
      </c>
      <c r="B5" s="5">
        <v>10</v>
      </c>
      <c r="C5" s="6">
        <f>IFERROR(B5/SUM($B$4:$B$5),0)</f>
        <v>0.3125</v>
      </c>
    </row>
    <row r="6" spans="1:4">
      <c r="A6" s="7" t="s">
        <v>130</v>
      </c>
      <c r="B6" s="2">
        <f>SUM(B4:B5)</f>
        <v>32</v>
      </c>
      <c r="C6" s="8">
        <f>SUM(C4:C5)</f>
        <v>1</v>
      </c>
    </row>
  </sheetData>
  <pageMargins left="0.75" right="0.75" top="1" bottom="1" header="0.5" footer="0.5"/>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D7"/>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95</v>
      </c>
      <c r="C1" s="4"/>
    </row>
    <row r="2" spans="1:4">
      <c r="A2" s="4"/>
      <c r="B2" s="4"/>
      <c r="C2" s="4"/>
      <c r="D2" t="s">
        <v>123</v>
      </c>
    </row>
    <row r="3" spans="1:4">
      <c r="A3" s="2" t="s">
        <v>124</v>
      </c>
      <c r="B3" s="2" t="s">
        <v>125</v>
      </c>
      <c r="C3" s="2" t="s">
        <v>126</v>
      </c>
    </row>
    <row r="4" spans="1:4">
      <c r="A4" s="3" t="s">
        <v>221</v>
      </c>
      <c r="B4" s="5">
        <v>16</v>
      </c>
      <c r="C4" s="6">
        <f>IFERROR(B4/SUM($B$4:$B$6),0)</f>
        <v>0.5</v>
      </c>
    </row>
    <row r="5" spans="1:4">
      <c r="A5" s="3" t="s">
        <v>226</v>
      </c>
      <c r="B5" s="5">
        <v>14</v>
      </c>
      <c r="C5" s="6">
        <f>IFERROR(B5/SUM($B$4:$B$6),0)</f>
        <v>0.4375</v>
      </c>
    </row>
    <row r="6" spans="1:4">
      <c r="A6" s="3" t="s">
        <v>223</v>
      </c>
      <c r="B6" s="5">
        <v>2</v>
      </c>
      <c r="C6" s="6">
        <f>IFERROR(B6/SUM($B$4:$B$6),0)</f>
        <v>6.25E-2</v>
      </c>
    </row>
    <row r="7" spans="1:4">
      <c r="A7" s="7" t="s">
        <v>130</v>
      </c>
      <c r="B7" s="2">
        <f>SUM(B4:B6)</f>
        <v>32</v>
      </c>
      <c r="C7" s="8">
        <f>SUM(C4:C6)</f>
        <v>1</v>
      </c>
    </row>
  </sheetData>
  <pageMargins left="0.75" right="0.75" top="1" bottom="1" header="0.5" footer="0.5"/>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D7"/>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97</v>
      </c>
      <c r="C1" s="4"/>
    </row>
    <row r="2" spans="1:4">
      <c r="A2" s="4"/>
      <c r="B2" s="4"/>
      <c r="C2" s="4"/>
      <c r="D2" t="s">
        <v>123</v>
      </c>
    </row>
    <row r="3" spans="1:4">
      <c r="A3" s="2" t="s">
        <v>124</v>
      </c>
      <c r="B3" s="2" t="s">
        <v>125</v>
      </c>
      <c r="C3" s="2" t="s">
        <v>126</v>
      </c>
    </row>
    <row r="4" spans="1:4">
      <c r="A4" s="3" t="s">
        <v>221</v>
      </c>
      <c r="B4" s="5">
        <v>16</v>
      </c>
      <c r="C4" s="6">
        <f>IFERROR(B4/SUM($B$4:$B$6),0)</f>
        <v>0.5</v>
      </c>
    </row>
    <row r="5" spans="1:4">
      <c r="A5" s="3" t="s">
        <v>226</v>
      </c>
      <c r="B5" s="5">
        <v>14</v>
      </c>
      <c r="C5" s="6">
        <f>IFERROR(B5/SUM($B$4:$B$6),0)</f>
        <v>0.4375</v>
      </c>
    </row>
    <row r="6" spans="1:4">
      <c r="A6" s="3" t="s">
        <v>223</v>
      </c>
      <c r="B6" s="5">
        <v>2</v>
      </c>
      <c r="C6" s="6">
        <f>IFERROR(B6/SUM($B$4:$B$6),0)</f>
        <v>6.25E-2</v>
      </c>
    </row>
    <row r="7" spans="1:4">
      <c r="A7" s="7" t="s">
        <v>130</v>
      </c>
      <c r="B7" s="2">
        <f>SUM(B4:B6)</f>
        <v>32</v>
      </c>
      <c r="C7" s="8">
        <f>SUM(C4:C6)</f>
        <v>1</v>
      </c>
    </row>
  </sheetData>
  <pageMargins left="0.75" right="0.75" top="1" bottom="1" header="0.5" footer="0.5"/>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D7"/>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99</v>
      </c>
      <c r="C1" s="4"/>
    </row>
    <row r="2" spans="1:4">
      <c r="A2" s="4"/>
      <c r="B2" s="4"/>
      <c r="C2" s="4"/>
      <c r="D2" t="s">
        <v>123</v>
      </c>
    </row>
    <row r="3" spans="1:4">
      <c r="A3" s="2" t="s">
        <v>124</v>
      </c>
      <c r="B3" s="2" t="s">
        <v>125</v>
      </c>
      <c r="C3" s="2" t="s">
        <v>126</v>
      </c>
    </row>
    <row r="4" spans="1:4">
      <c r="A4" s="3" t="s">
        <v>221</v>
      </c>
      <c r="B4" s="5">
        <v>21</v>
      </c>
      <c r="C4" s="6">
        <f>IFERROR(B4/SUM($B$4:$B$6),0)</f>
        <v>0.65625</v>
      </c>
    </row>
    <row r="5" spans="1:4">
      <c r="A5" s="3" t="s">
        <v>227</v>
      </c>
      <c r="B5" s="5">
        <v>10</v>
      </c>
      <c r="C5" s="6">
        <f>IFERROR(B5/SUM($B$4:$B$6),0)</f>
        <v>0.3125</v>
      </c>
    </row>
    <row r="6" spans="1:4">
      <c r="A6" s="3" t="s">
        <v>223</v>
      </c>
      <c r="B6" s="5">
        <v>1</v>
      </c>
      <c r="C6" s="6">
        <f>IFERROR(B6/SUM($B$4:$B$6),0)</f>
        <v>3.125E-2</v>
      </c>
    </row>
    <row r="7" spans="1:4">
      <c r="A7" s="7" t="s">
        <v>130</v>
      </c>
      <c r="B7" s="2">
        <f>SUM(B4:B6)</f>
        <v>32</v>
      </c>
      <c r="C7" s="8">
        <f>SUM(C4:C6)</f>
        <v>1</v>
      </c>
    </row>
  </sheetData>
  <pageMargins left="0.75" right="0.75" top="1" bottom="1" header="0.5" footer="0.5"/>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D8"/>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101</v>
      </c>
      <c r="C1" s="4"/>
    </row>
    <row r="2" spans="1:4">
      <c r="A2" s="4"/>
      <c r="B2" s="4"/>
      <c r="C2" s="4"/>
      <c r="D2" t="s">
        <v>123</v>
      </c>
    </row>
    <row r="3" spans="1:4">
      <c r="A3" s="2" t="s">
        <v>124</v>
      </c>
      <c r="B3" s="2" t="s">
        <v>125</v>
      </c>
      <c r="C3" s="2" t="s">
        <v>126</v>
      </c>
    </row>
    <row r="4" spans="1:4">
      <c r="A4" s="3" t="s">
        <v>155</v>
      </c>
      <c r="B4" s="5">
        <v>12</v>
      </c>
      <c r="C4" s="6">
        <f>IFERROR(B4/SUM($B$4:$B$7),0)</f>
        <v>0.375</v>
      </c>
    </row>
    <row r="5" spans="1:4">
      <c r="A5" s="3" t="s">
        <v>156</v>
      </c>
      <c r="B5" s="5">
        <v>17</v>
      </c>
      <c r="C5" s="6">
        <f>IFERROR(B5/SUM($B$4:$B$7),0)</f>
        <v>0.53125</v>
      </c>
    </row>
    <row r="6" spans="1:4">
      <c r="A6" s="3" t="s">
        <v>157</v>
      </c>
      <c r="B6" s="5">
        <v>1</v>
      </c>
      <c r="C6" s="6">
        <f>IFERROR(B6/SUM($B$4:$B$7),0)</f>
        <v>3.125E-2</v>
      </c>
    </row>
    <row r="7" spans="1:4">
      <c r="A7" s="3" t="s">
        <v>228</v>
      </c>
      <c r="B7" s="5">
        <v>2</v>
      </c>
      <c r="C7" s="6">
        <f>IFERROR(B7/SUM($B$4:$B$7),0)</f>
        <v>6.25E-2</v>
      </c>
    </row>
    <row r="8" spans="1:4">
      <c r="A8" s="7" t="s">
        <v>130</v>
      </c>
      <c r="B8" s="2">
        <f>SUM(B4:B7)</f>
        <v>32</v>
      </c>
      <c r="C8" s="8">
        <f>SUM(C4:C7)</f>
        <v>1</v>
      </c>
    </row>
  </sheetData>
  <pageMargins left="0.75" right="0.75" top="1" bottom="1" header="0.5" footer="0.5"/>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D9"/>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103</v>
      </c>
      <c r="C1" s="4"/>
    </row>
    <row r="2" spans="1:4">
      <c r="A2" s="4"/>
      <c r="B2" s="4"/>
      <c r="C2" s="4"/>
      <c r="D2" t="s">
        <v>123</v>
      </c>
    </row>
    <row r="3" spans="1:4">
      <c r="A3" s="2" t="s">
        <v>124</v>
      </c>
      <c r="B3" s="2" t="s">
        <v>125</v>
      </c>
      <c r="C3" s="2" t="s">
        <v>126</v>
      </c>
    </row>
    <row r="4" spans="1:4">
      <c r="A4" s="3" t="s">
        <v>155</v>
      </c>
      <c r="B4" s="5">
        <v>10</v>
      </c>
      <c r="C4" s="6">
        <f>IFERROR(B4/SUM($B$4:$B$8),0)</f>
        <v>0.3125</v>
      </c>
    </row>
    <row r="5" spans="1:4">
      <c r="A5" s="3" t="s">
        <v>156</v>
      </c>
      <c r="B5" s="5">
        <v>16</v>
      </c>
      <c r="C5" s="6">
        <f>IFERROR(B5/SUM($B$4:$B$8),0)</f>
        <v>0.5</v>
      </c>
    </row>
    <row r="6" spans="1:4">
      <c r="A6" s="3" t="s">
        <v>157</v>
      </c>
      <c r="B6" s="5">
        <v>3</v>
      </c>
      <c r="C6" s="6">
        <f>IFERROR(B6/SUM($B$4:$B$8),0)</f>
        <v>9.375E-2</v>
      </c>
    </row>
    <row r="7" spans="1:4">
      <c r="A7" s="3" t="s">
        <v>229</v>
      </c>
      <c r="B7" s="5">
        <v>1</v>
      </c>
      <c r="C7" s="6">
        <f>IFERROR(B7/SUM($B$4:$B$8),0)</f>
        <v>3.125E-2</v>
      </c>
    </row>
    <row r="8" spans="1:4">
      <c r="A8" s="3" t="s">
        <v>228</v>
      </c>
      <c r="B8" s="5">
        <v>2</v>
      </c>
      <c r="C8" s="6">
        <f>IFERROR(B8/SUM($B$4:$B$8),0)</f>
        <v>6.25E-2</v>
      </c>
    </row>
    <row r="9" spans="1:4">
      <c r="A9" s="7" t="s">
        <v>130</v>
      </c>
      <c r="B9" s="2">
        <f>SUM(B4:B8)</f>
        <v>32</v>
      </c>
      <c r="C9" s="8">
        <f>SUM(C4:C8)</f>
        <v>1</v>
      </c>
    </row>
  </sheetData>
  <pageMargins left="0.75" right="0.75" top="1" bottom="1" header="0.5" footer="0.5"/>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D9"/>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105</v>
      </c>
      <c r="C1" s="4"/>
    </row>
    <row r="2" spans="1:4">
      <c r="A2" s="4"/>
      <c r="B2" s="4"/>
      <c r="C2" s="4"/>
      <c r="D2" t="s">
        <v>123</v>
      </c>
    </row>
    <row r="3" spans="1:4">
      <c r="A3" s="2" t="s">
        <v>124</v>
      </c>
      <c r="B3" s="2" t="s">
        <v>125</v>
      </c>
      <c r="C3" s="2" t="s">
        <v>126</v>
      </c>
    </row>
    <row r="4" spans="1:4">
      <c r="A4" s="3" t="s">
        <v>155</v>
      </c>
      <c r="B4" s="5">
        <v>9</v>
      </c>
      <c r="C4" s="6">
        <f>IFERROR(B4/SUM($B$4:$B$8),0)</f>
        <v>0.28125</v>
      </c>
    </row>
    <row r="5" spans="1:4">
      <c r="A5" s="3" t="s">
        <v>156</v>
      </c>
      <c r="B5" s="5">
        <v>17</v>
      </c>
      <c r="C5" s="6">
        <f>IFERROR(B5/SUM($B$4:$B$8),0)</f>
        <v>0.53125</v>
      </c>
    </row>
    <row r="6" spans="1:4">
      <c r="A6" s="3" t="s">
        <v>157</v>
      </c>
      <c r="B6" s="5">
        <v>3</v>
      </c>
      <c r="C6" s="6">
        <f>IFERROR(B6/SUM($B$4:$B$8),0)</f>
        <v>9.375E-2</v>
      </c>
    </row>
    <row r="7" spans="1:4">
      <c r="A7" s="3" t="s">
        <v>229</v>
      </c>
      <c r="B7" s="5">
        <v>1</v>
      </c>
      <c r="C7" s="6">
        <f>IFERROR(B7/SUM($B$4:$B$8),0)</f>
        <v>3.125E-2</v>
      </c>
    </row>
    <row r="8" spans="1:4">
      <c r="A8" s="3" t="s">
        <v>228</v>
      </c>
      <c r="B8" s="5">
        <v>2</v>
      </c>
      <c r="C8" s="6">
        <f>IFERROR(B8/SUM($B$4:$B$8),0)</f>
        <v>6.25E-2</v>
      </c>
    </row>
    <row r="9" spans="1:4">
      <c r="A9" s="7" t="s">
        <v>130</v>
      </c>
      <c r="B9" s="2">
        <f>SUM(B4:B8)</f>
        <v>32</v>
      </c>
      <c r="C9" s="8">
        <f>SUM(C4:C8)</f>
        <v>1</v>
      </c>
    </row>
  </sheetData>
  <pageMargins left="0.75" right="0.75" top="1" bottom="1" header="0.5" footer="0.5"/>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D9"/>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107</v>
      </c>
      <c r="C1" s="4"/>
    </row>
    <row r="2" spans="1:4">
      <c r="A2" s="4"/>
      <c r="B2" s="4"/>
      <c r="C2" s="4"/>
      <c r="D2" t="s">
        <v>123</v>
      </c>
    </row>
    <row r="3" spans="1:4">
      <c r="A3" s="2" t="s">
        <v>124</v>
      </c>
      <c r="B3" s="2" t="s">
        <v>125</v>
      </c>
      <c r="C3" s="2" t="s">
        <v>126</v>
      </c>
    </row>
    <row r="4" spans="1:4">
      <c r="A4" s="3" t="s">
        <v>155</v>
      </c>
      <c r="B4" s="5">
        <v>13</v>
      </c>
      <c r="C4" s="6">
        <f>IFERROR(B4/SUM($B$4:$B$8),0)</f>
        <v>0.40625</v>
      </c>
    </row>
    <row r="5" spans="1:4">
      <c r="A5" s="3" t="s">
        <v>156</v>
      </c>
      <c r="B5" s="5">
        <v>13</v>
      </c>
      <c r="C5" s="6">
        <f>IFERROR(B5/SUM($B$4:$B$8),0)</f>
        <v>0.40625</v>
      </c>
    </row>
    <row r="6" spans="1:4">
      <c r="A6" s="3" t="s">
        <v>157</v>
      </c>
      <c r="B6" s="5">
        <v>3</v>
      </c>
      <c r="C6" s="6">
        <f>IFERROR(B6/SUM($B$4:$B$8),0)</f>
        <v>9.375E-2</v>
      </c>
    </row>
    <row r="7" spans="1:4">
      <c r="A7" s="3" t="s">
        <v>229</v>
      </c>
      <c r="B7" s="5">
        <v>1</v>
      </c>
      <c r="C7" s="6">
        <f>IFERROR(B7/SUM($B$4:$B$8),0)</f>
        <v>3.125E-2</v>
      </c>
    </row>
    <row r="8" spans="1:4">
      <c r="A8" s="3" t="s">
        <v>228</v>
      </c>
      <c r="B8" s="5">
        <v>2</v>
      </c>
      <c r="C8" s="6">
        <f>IFERROR(B8/SUM($B$4:$B$8),0)</f>
        <v>6.25E-2</v>
      </c>
    </row>
    <row r="9" spans="1:4">
      <c r="A9" s="7" t="s">
        <v>130</v>
      </c>
      <c r="B9" s="2">
        <f>SUM(B4:B8)</f>
        <v>32</v>
      </c>
      <c r="C9" s="8">
        <f>SUM(C4:C8)</f>
        <v>1</v>
      </c>
    </row>
  </sheetData>
  <pageMargins left="0.75" right="0.75" top="1" bottom="1" header="0.5" footer="0.5"/>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D9"/>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109</v>
      </c>
      <c r="C1" s="4"/>
    </row>
    <row r="2" spans="1:4">
      <c r="A2" s="4"/>
      <c r="B2" s="4"/>
      <c r="C2" s="4"/>
      <c r="D2" t="s">
        <v>123</v>
      </c>
    </row>
    <row r="3" spans="1:4">
      <c r="A3" s="2" t="s">
        <v>124</v>
      </c>
      <c r="B3" s="2" t="s">
        <v>125</v>
      </c>
      <c r="C3" s="2" t="s">
        <v>126</v>
      </c>
    </row>
    <row r="4" spans="1:4">
      <c r="A4" s="3" t="s">
        <v>155</v>
      </c>
      <c r="B4" s="5">
        <v>12</v>
      </c>
      <c r="C4" s="6">
        <f>IFERROR(B4/SUM($B$4:$B$8),0)</f>
        <v>0.375</v>
      </c>
    </row>
    <row r="5" spans="1:4">
      <c r="A5" s="3" t="s">
        <v>156</v>
      </c>
      <c r="B5" s="5">
        <v>13</v>
      </c>
      <c r="C5" s="6">
        <f>IFERROR(B5/SUM($B$4:$B$8),0)</f>
        <v>0.40625</v>
      </c>
    </row>
    <row r="6" spans="1:4">
      <c r="A6" s="3" t="s">
        <v>157</v>
      </c>
      <c r="B6" s="5">
        <v>3</v>
      </c>
      <c r="C6" s="6">
        <f>IFERROR(B6/SUM($B$4:$B$8),0)</f>
        <v>9.375E-2</v>
      </c>
    </row>
    <row r="7" spans="1:4">
      <c r="A7" s="3" t="s">
        <v>229</v>
      </c>
      <c r="B7" s="5">
        <v>2</v>
      </c>
      <c r="C7" s="6">
        <f>IFERROR(B7/SUM($B$4:$B$8),0)</f>
        <v>6.25E-2</v>
      </c>
    </row>
    <row r="8" spans="1:4">
      <c r="A8" s="3" t="s">
        <v>228</v>
      </c>
      <c r="B8" s="5">
        <v>2</v>
      </c>
      <c r="C8" s="6">
        <f>IFERROR(B8/SUM($B$4:$B$8),0)</f>
        <v>6.25E-2</v>
      </c>
    </row>
    <row r="9" spans="1:4">
      <c r="A9" s="7" t="s">
        <v>130</v>
      </c>
      <c r="B9" s="2">
        <f>SUM(B4:B8)</f>
        <v>32</v>
      </c>
      <c r="C9" s="8">
        <f>SUM(C4:C8)</f>
        <v>1</v>
      </c>
    </row>
  </sheetData>
  <pageMargins left="0.75" right="0.75" top="1" bottom="1" header="0.5" footer="0.5"/>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D9"/>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111</v>
      </c>
      <c r="C1" s="4"/>
    </row>
    <row r="2" spans="1:4">
      <c r="A2" s="4"/>
      <c r="B2" s="4"/>
      <c r="C2" s="4"/>
      <c r="D2" t="s">
        <v>123</v>
      </c>
    </row>
    <row r="3" spans="1:4">
      <c r="A3" s="2" t="s">
        <v>124</v>
      </c>
      <c r="B3" s="2" t="s">
        <v>125</v>
      </c>
      <c r="C3" s="2" t="s">
        <v>126</v>
      </c>
    </row>
    <row r="4" spans="1:4">
      <c r="A4" s="3" t="s">
        <v>155</v>
      </c>
      <c r="B4" s="5">
        <v>18</v>
      </c>
      <c r="C4" s="6">
        <f>IFERROR(B4/SUM($B$4:$B$8),0)</f>
        <v>0.5625</v>
      </c>
    </row>
    <row r="5" spans="1:4">
      <c r="A5" s="3" t="s">
        <v>156</v>
      </c>
      <c r="B5" s="5">
        <v>10</v>
      </c>
      <c r="C5" s="6">
        <f>IFERROR(B5/SUM($B$4:$B$8),0)</f>
        <v>0.3125</v>
      </c>
    </row>
    <row r="6" spans="1:4">
      <c r="A6" s="3" t="s">
        <v>157</v>
      </c>
      <c r="B6" s="5">
        <v>2</v>
      </c>
      <c r="C6" s="6">
        <f>IFERROR(B6/SUM($B$4:$B$8),0)</f>
        <v>6.25E-2</v>
      </c>
    </row>
    <row r="7" spans="1:4">
      <c r="A7" s="3" t="s">
        <v>229</v>
      </c>
      <c r="B7" s="5">
        <v>1</v>
      </c>
      <c r="C7" s="6">
        <f>IFERROR(B7/SUM($B$4:$B$8),0)</f>
        <v>3.125E-2</v>
      </c>
    </row>
    <row r="8" spans="1:4">
      <c r="A8" s="3" t="s">
        <v>228</v>
      </c>
      <c r="B8" s="5">
        <v>1</v>
      </c>
      <c r="C8" s="6">
        <f>IFERROR(B8/SUM($B$4:$B$8),0)</f>
        <v>3.125E-2</v>
      </c>
    </row>
    <row r="9" spans="1:4">
      <c r="A9" s="7" t="s">
        <v>130</v>
      </c>
      <c r="B9" s="2">
        <f>SUM(B4:B8)</f>
        <v>32</v>
      </c>
      <c r="C9" s="8">
        <f>SUM(C4:C8)</f>
        <v>1</v>
      </c>
    </row>
  </sheetData>
  <pageMargins left="0.75" right="0.75" top="1" bottom="1" header="0.5" footer="0.5"/>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D8"/>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113</v>
      </c>
      <c r="C1" s="4"/>
    </row>
    <row r="2" spans="1:4">
      <c r="A2" s="4"/>
      <c r="B2" s="4"/>
      <c r="C2" s="4"/>
      <c r="D2" t="s">
        <v>123</v>
      </c>
    </row>
    <row r="3" spans="1:4">
      <c r="A3" s="2" t="s">
        <v>124</v>
      </c>
      <c r="B3" s="2" t="s">
        <v>125</v>
      </c>
      <c r="C3" s="2" t="s">
        <v>126</v>
      </c>
    </row>
    <row r="4" spans="1:4">
      <c r="A4" s="3" t="s">
        <v>155</v>
      </c>
      <c r="B4" s="5">
        <v>14</v>
      </c>
      <c r="C4" s="6">
        <f>IFERROR(B4/SUM($B$4:$B$7),0)</f>
        <v>0.4375</v>
      </c>
    </row>
    <row r="5" spans="1:4">
      <c r="A5" s="3" t="s">
        <v>156</v>
      </c>
      <c r="B5" s="5">
        <v>14</v>
      </c>
      <c r="C5" s="6">
        <f>IFERROR(B5/SUM($B$4:$B$7),0)</f>
        <v>0.4375</v>
      </c>
    </row>
    <row r="6" spans="1:4">
      <c r="A6" s="3" t="s">
        <v>157</v>
      </c>
      <c r="B6" s="5">
        <v>3</v>
      </c>
      <c r="C6" s="6">
        <f>IFERROR(B6/SUM($B$4:$B$7),0)</f>
        <v>9.375E-2</v>
      </c>
    </row>
    <row r="7" spans="1:4">
      <c r="A7" s="3" t="s">
        <v>229</v>
      </c>
      <c r="B7" s="5">
        <v>1</v>
      </c>
      <c r="C7" s="6">
        <f>IFERROR(B7/SUM($B$4:$B$7),0)</f>
        <v>3.125E-2</v>
      </c>
    </row>
    <row r="8" spans="1:4">
      <c r="A8" s="7" t="s">
        <v>130</v>
      </c>
      <c r="B8" s="2">
        <f>SUM(B4:B7)</f>
        <v>32</v>
      </c>
      <c r="C8" s="8">
        <f>SUM(C4:C7)</f>
        <v>1</v>
      </c>
    </row>
  </sheetData>
  <pageMargins left="0.75" right="0.75" top="1" bottom="1" header="0.5" footer="0.5"/>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D7"/>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115</v>
      </c>
      <c r="C1" s="4"/>
    </row>
    <row r="2" spans="1:4">
      <c r="A2" s="4"/>
      <c r="B2" s="4"/>
      <c r="C2" s="4"/>
      <c r="D2" t="s">
        <v>123</v>
      </c>
    </row>
    <row r="3" spans="1:4">
      <c r="A3" s="2" t="s">
        <v>124</v>
      </c>
      <c r="B3" s="2" t="s">
        <v>125</v>
      </c>
      <c r="C3" s="2" t="s">
        <v>126</v>
      </c>
    </row>
    <row r="4" spans="1:4">
      <c r="A4" s="3" t="s">
        <v>155</v>
      </c>
      <c r="B4" s="5">
        <v>17</v>
      </c>
      <c r="C4" s="6">
        <f>IFERROR(B4/SUM($B$4:$B$6),0)</f>
        <v>0.53125</v>
      </c>
    </row>
    <row r="5" spans="1:4">
      <c r="A5" s="3" t="s">
        <v>156</v>
      </c>
      <c r="B5" s="5">
        <v>13</v>
      </c>
      <c r="C5" s="6">
        <f>IFERROR(B5/SUM($B$4:$B$6),0)</f>
        <v>0.40625</v>
      </c>
    </row>
    <row r="6" spans="1:4">
      <c r="A6" s="3" t="s">
        <v>157</v>
      </c>
      <c r="B6" s="5">
        <v>2</v>
      </c>
      <c r="C6" s="6">
        <f>IFERROR(B6/SUM($B$4:$B$6),0)</f>
        <v>6.25E-2</v>
      </c>
    </row>
    <row r="7" spans="1:4">
      <c r="A7" s="7" t="s">
        <v>130</v>
      </c>
      <c r="B7" s="2">
        <f>SUM(B4:B6)</f>
        <v>32</v>
      </c>
      <c r="C7" s="8">
        <f>SUM(C4:C6)</f>
        <v>1</v>
      </c>
    </row>
  </sheetData>
  <pageMargins left="0.75" right="0.75" top="1" bottom="1" header="0.5" footer="0.5"/>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D8"/>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117</v>
      </c>
      <c r="C1" s="4"/>
    </row>
    <row r="2" spans="1:4">
      <c r="A2" s="4"/>
      <c r="B2" s="4"/>
      <c r="C2" s="4"/>
      <c r="D2" t="s">
        <v>123</v>
      </c>
    </row>
    <row r="3" spans="1:4">
      <c r="A3" s="2" t="s">
        <v>124</v>
      </c>
      <c r="B3" s="2" t="s">
        <v>125</v>
      </c>
      <c r="C3" s="2" t="s">
        <v>126</v>
      </c>
    </row>
    <row r="4" spans="1:4">
      <c r="A4" s="3" t="s">
        <v>155</v>
      </c>
      <c r="B4" s="5">
        <v>12</v>
      </c>
      <c r="C4" s="6">
        <f>IFERROR(B4/SUM($B$4:$B$7),0)</f>
        <v>0.375</v>
      </c>
    </row>
    <row r="5" spans="1:4">
      <c r="A5" s="3" t="s">
        <v>156</v>
      </c>
      <c r="B5" s="5">
        <v>17</v>
      </c>
      <c r="C5" s="6">
        <f>IFERROR(B5/SUM($B$4:$B$7),0)</f>
        <v>0.53125</v>
      </c>
    </row>
    <row r="6" spans="1:4">
      <c r="A6" s="3" t="s">
        <v>157</v>
      </c>
      <c r="B6" s="5">
        <v>2</v>
      </c>
      <c r="C6" s="6">
        <f>IFERROR(B6/SUM($B$4:$B$7),0)</f>
        <v>6.25E-2</v>
      </c>
    </row>
    <row r="7" spans="1:4">
      <c r="A7" s="3" t="s">
        <v>229</v>
      </c>
      <c r="B7" s="5">
        <v>1</v>
      </c>
      <c r="C7" s="6">
        <f>IFERROR(B7/SUM($B$4:$B$7),0)</f>
        <v>3.125E-2</v>
      </c>
    </row>
    <row r="8" spans="1:4">
      <c r="A8" s="7" t="s">
        <v>130</v>
      </c>
      <c r="B8" s="2">
        <f>SUM(B4:B7)</f>
        <v>32</v>
      </c>
      <c r="C8" s="8">
        <f>SUM(C4:C7)</f>
        <v>1</v>
      </c>
    </row>
  </sheetData>
  <pageMargins left="0.75" right="0.75" top="1" bottom="1" header="0.5" footer="0.5"/>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D7"/>
  <sheetViews>
    <sheetView workbookViewId="0"/>
  </sheetViews>
  <sheetFormatPr defaultColWidth="8.85546875" defaultRowHeight="15"/>
  <cols>
    <col min="1" max="1" width="32" customWidth="1"/>
    <col min="2" max="2" width="12" customWidth="1"/>
    <col min="3" max="3" width="14" customWidth="1"/>
    <col min="4" max="4" width="13" hidden="1" customWidth="1"/>
  </cols>
  <sheetData>
    <row r="1" spans="1:4">
      <c r="A1" s="2" t="s">
        <v>122</v>
      </c>
      <c r="B1" s="3" t="s">
        <v>119</v>
      </c>
      <c r="C1" s="4"/>
    </row>
    <row r="2" spans="1:4">
      <c r="A2" s="4"/>
      <c r="B2" s="4"/>
      <c r="C2" s="4"/>
      <c r="D2" t="s">
        <v>123</v>
      </c>
    </row>
    <row r="3" spans="1:4">
      <c r="A3" s="2" t="s">
        <v>124</v>
      </c>
      <c r="B3" s="2" t="s">
        <v>125</v>
      </c>
      <c r="C3" s="2" t="s">
        <v>126</v>
      </c>
    </row>
    <row r="4" spans="1:4">
      <c r="A4" s="3" t="s">
        <v>155</v>
      </c>
      <c r="B4" s="5">
        <v>15</v>
      </c>
      <c r="C4" s="6">
        <f>IFERROR(B4/SUM($B$4:$B$6),0)</f>
        <v>0.46875</v>
      </c>
    </row>
    <row r="5" spans="1:4">
      <c r="A5" s="3" t="s">
        <v>156</v>
      </c>
      <c r="B5" s="5">
        <v>15</v>
      </c>
      <c r="C5" s="6">
        <f>IFERROR(B5/SUM($B$4:$B$6),0)</f>
        <v>0.46875</v>
      </c>
    </row>
    <row r="6" spans="1:4">
      <c r="A6" s="3" t="s">
        <v>157</v>
      </c>
      <c r="B6" s="5">
        <v>2</v>
      </c>
      <c r="C6" s="6">
        <f>IFERROR(B6/SUM($B$4:$B$6),0)</f>
        <v>6.25E-2</v>
      </c>
    </row>
    <row r="7" spans="1:4">
      <c r="A7" s="7" t="s">
        <v>130</v>
      </c>
      <c r="B7" s="2">
        <f>SUM(B4:B6)</f>
        <v>32</v>
      </c>
      <c r="C7" s="8">
        <f>SUM(C4:C6)</f>
        <v>1</v>
      </c>
    </row>
  </sheetData>
  <pageMargins left="0.75" right="0.75" top="1" bottom="1" header="0.5" footer="0.5"/>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D26"/>
  <sheetViews>
    <sheetView tabSelected="1" workbookViewId="0">
      <selection activeCell="H34" sqref="H34"/>
    </sheetView>
  </sheetViews>
  <sheetFormatPr defaultColWidth="8.85546875" defaultRowHeight="15"/>
  <cols>
    <col min="1" max="1" width="58.140625" style="13" customWidth="1"/>
    <col min="2" max="2" width="12" customWidth="1"/>
    <col min="3" max="3" width="14" customWidth="1"/>
    <col min="4" max="4" width="13" hidden="1" customWidth="1"/>
  </cols>
  <sheetData>
    <row r="1" spans="1:4" ht="15.95" customHeight="1">
      <c r="A1" s="10" t="s">
        <v>122</v>
      </c>
      <c r="B1" s="3" t="s">
        <v>121</v>
      </c>
      <c r="C1" s="4"/>
    </row>
    <row r="2" spans="1:4">
      <c r="A2" s="11"/>
      <c r="B2" s="4"/>
      <c r="C2" s="4"/>
      <c r="D2" t="s">
        <v>123</v>
      </c>
    </row>
    <row r="3" spans="1:4" ht="15.95" customHeight="1">
      <c r="A3" s="10" t="s">
        <v>124</v>
      </c>
      <c r="B3" s="2" t="s">
        <v>125</v>
      </c>
      <c r="C3" s="2" t="s">
        <v>126</v>
      </c>
    </row>
    <row r="4" spans="1:4" ht="15.95" customHeight="1">
      <c r="A4" s="9" t="s">
        <v>193</v>
      </c>
      <c r="B4" s="5">
        <v>11</v>
      </c>
      <c r="C4" s="6">
        <f t="shared" ref="C4:C25" si="0">IFERROR(B4/SUM($B$4:$B$25),0)</f>
        <v>0.34375</v>
      </c>
    </row>
    <row r="5" spans="1:4" ht="32.1" customHeight="1">
      <c r="A5" s="9" t="s">
        <v>230</v>
      </c>
      <c r="B5" s="5">
        <v>1</v>
      </c>
      <c r="C5" s="6">
        <f t="shared" si="0"/>
        <v>3.125E-2</v>
      </c>
    </row>
    <row r="6" spans="1:4" ht="15.95" customHeight="1">
      <c r="A6" s="9" t="s">
        <v>196</v>
      </c>
      <c r="B6" s="5">
        <v>1</v>
      </c>
      <c r="C6" s="6">
        <f t="shared" si="0"/>
        <v>3.125E-2</v>
      </c>
    </row>
    <row r="7" spans="1:4" ht="15.95" customHeight="1">
      <c r="A7" s="9" t="s">
        <v>194</v>
      </c>
      <c r="B7" s="5">
        <v>1</v>
      </c>
      <c r="C7" s="6">
        <f t="shared" si="0"/>
        <v>3.125E-2</v>
      </c>
    </row>
    <row r="8" spans="1:4" ht="15.95" customHeight="1">
      <c r="A8" s="9" t="s">
        <v>231</v>
      </c>
      <c r="B8" s="5">
        <v>1</v>
      </c>
      <c r="C8" s="6">
        <f t="shared" si="0"/>
        <v>3.125E-2</v>
      </c>
    </row>
    <row r="9" spans="1:4" ht="48" customHeight="1">
      <c r="A9" s="9" t="s">
        <v>232</v>
      </c>
      <c r="B9" s="5">
        <v>1</v>
      </c>
      <c r="C9" s="6">
        <f t="shared" si="0"/>
        <v>3.125E-2</v>
      </c>
    </row>
    <row r="10" spans="1:4" ht="32.1" customHeight="1">
      <c r="A10" s="9" t="s">
        <v>233</v>
      </c>
      <c r="B10" s="5">
        <v>1</v>
      </c>
      <c r="C10" s="6">
        <f t="shared" si="0"/>
        <v>3.125E-2</v>
      </c>
    </row>
    <row r="11" spans="1:4" ht="32.1" customHeight="1">
      <c r="A11" s="9" t="s">
        <v>234</v>
      </c>
      <c r="B11" s="5">
        <v>1</v>
      </c>
      <c r="C11" s="6">
        <f t="shared" si="0"/>
        <v>3.125E-2</v>
      </c>
    </row>
    <row r="12" spans="1:4" ht="48" customHeight="1">
      <c r="A12" s="9" t="s">
        <v>235</v>
      </c>
      <c r="B12" s="5">
        <v>1</v>
      </c>
      <c r="C12" s="6">
        <f t="shared" si="0"/>
        <v>3.125E-2</v>
      </c>
    </row>
    <row r="13" spans="1:4" ht="48" customHeight="1">
      <c r="A13" s="9" t="s">
        <v>236</v>
      </c>
      <c r="B13" s="5">
        <v>1</v>
      </c>
      <c r="C13" s="6">
        <f t="shared" si="0"/>
        <v>3.125E-2</v>
      </c>
    </row>
    <row r="14" spans="1:4" ht="15.95" customHeight="1">
      <c r="A14" s="9" t="s">
        <v>237</v>
      </c>
      <c r="B14" s="5">
        <v>1</v>
      </c>
      <c r="C14" s="6">
        <f t="shared" si="0"/>
        <v>3.125E-2</v>
      </c>
    </row>
    <row r="15" spans="1:4" ht="32.1" customHeight="1">
      <c r="A15" s="9" t="s">
        <v>238</v>
      </c>
      <c r="B15" s="5">
        <v>1</v>
      </c>
      <c r="C15" s="6">
        <f t="shared" si="0"/>
        <v>3.125E-2</v>
      </c>
    </row>
    <row r="16" spans="1:4" ht="32.1" customHeight="1">
      <c r="A16" s="9" t="s">
        <v>239</v>
      </c>
      <c r="B16" s="5">
        <v>1</v>
      </c>
      <c r="C16" s="6">
        <f t="shared" si="0"/>
        <v>3.125E-2</v>
      </c>
    </row>
    <row r="17" spans="1:3" ht="15.95" customHeight="1">
      <c r="A17" s="9" t="s">
        <v>240</v>
      </c>
      <c r="B17" s="5">
        <v>1</v>
      </c>
      <c r="C17" s="6">
        <f t="shared" si="0"/>
        <v>3.125E-2</v>
      </c>
    </row>
    <row r="18" spans="1:3" ht="15.95" customHeight="1">
      <c r="A18" s="9" t="s">
        <v>241</v>
      </c>
      <c r="B18" s="5">
        <v>1</v>
      </c>
      <c r="C18" s="6">
        <f t="shared" si="0"/>
        <v>3.125E-2</v>
      </c>
    </row>
    <row r="19" spans="1:3" ht="32.1" customHeight="1">
      <c r="A19" s="9" t="s">
        <v>242</v>
      </c>
      <c r="B19" s="5">
        <v>1</v>
      </c>
      <c r="C19" s="6">
        <f t="shared" si="0"/>
        <v>3.125E-2</v>
      </c>
    </row>
    <row r="20" spans="1:3" ht="32.1" customHeight="1">
      <c r="A20" s="9" t="s">
        <v>243</v>
      </c>
      <c r="B20" s="5">
        <v>1</v>
      </c>
      <c r="C20" s="6">
        <f t="shared" si="0"/>
        <v>3.125E-2</v>
      </c>
    </row>
    <row r="21" spans="1:3" ht="48" customHeight="1">
      <c r="A21" s="9" t="s">
        <v>244</v>
      </c>
      <c r="B21" s="5">
        <v>1</v>
      </c>
      <c r="C21" s="6">
        <f t="shared" si="0"/>
        <v>3.125E-2</v>
      </c>
    </row>
    <row r="22" spans="1:3" ht="63.95" customHeight="1">
      <c r="A22" s="9" t="s">
        <v>245</v>
      </c>
      <c r="B22" s="5">
        <v>1</v>
      </c>
      <c r="C22" s="6">
        <f t="shared" si="0"/>
        <v>3.125E-2</v>
      </c>
    </row>
    <row r="23" spans="1:3" ht="80.099999999999994" customHeight="1">
      <c r="A23" s="9" t="s">
        <v>246</v>
      </c>
      <c r="B23" s="5">
        <v>1</v>
      </c>
      <c r="C23" s="6">
        <f t="shared" si="0"/>
        <v>3.125E-2</v>
      </c>
    </row>
    <row r="24" spans="1:3" ht="15.95" customHeight="1">
      <c r="A24" s="9" t="s">
        <v>247</v>
      </c>
      <c r="B24" s="5">
        <v>1</v>
      </c>
      <c r="C24" s="6">
        <f t="shared" si="0"/>
        <v>3.125E-2</v>
      </c>
    </row>
    <row r="25" spans="1:3" ht="32.1" customHeight="1">
      <c r="A25" s="9" t="s">
        <v>248</v>
      </c>
      <c r="B25" s="5">
        <v>1</v>
      </c>
      <c r="C25" s="6">
        <f t="shared" si="0"/>
        <v>3.125E-2</v>
      </c>
    </row>
    <row r="26" spans="1:3" ht="15.95" customHeight="1">
      <c r="A26" s="12" t="s">
        <v>130</v>
      </c>
      <c r="B26" s="2">
        <f>SUM(B4:B25)</f>
        <v>32</v>
      </c>
      <c r="C26" s="8">
        <f>SUM(C4:C25)</f>
        <v>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a7f693-b1e1-4382-90e3-78f3c0a28a90" xsi:nil="true"/>
    <lcf76f155ced4ddcb4097134ff3c332f xmlns="9932afc9-16b8-436e-b063-c6edd018cbf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4099F62560ECB4FBCACDD576F14E869" ma:contentTypeVersion="19" ma:contentTypeDescription="Crear nuevo documento." ma:contentTypeScope="" ma:versionID="d6d6a54ccce0b6732c9f051d621440c8">
  <xsd:schema xmlns:xsd="http://www.w3.org/2001/XMLSchema" xmlns:xs="http://www.w3.org/2001/XMLSchema" xmlns:p="http://schemas.microsoft.com/office/2006/metadata/properties" xmlns:ns2="9932afc9-16b8-436e-b063-c6edd018cbfd" xmlns:ns3="4aa7f693-b1e1-4382-90e3-78f3c0a28a90" targetNamespace="http://schemas.microsoft.com/office/2006/metadata/properties" ma:root="true" ma:fieldsID="94cf7fb9aa61f422ed3317e4ae89827a" ns2:_="" ns3:_="">
    <xsd:import namespace="9932afc9-16b8-436e-b063-c6edd018cbfd"/>
    <xsd:import namespace="4aa7f693-b1e1-4382-90e3-78f3c0a28a9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32afc9-16b8-436e-b063-c6edd018cb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3275abd0-3801-4d23-a03f-3aac7ab7ca23"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aa7f693-b1e1-4382-90e3-78f3c0a28a90" elementFormDefault="qualified">
    <xsd:import namespace="http://schemas.microsoft.com/office/2006/documentManagement/types"/>
    <xsd:import namespace="http://schemas.microsoft.com/office/infopath/2007/PartnerControls"/>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3f8da584-c498-4c12-a1a7-f496c552c6ef}" ma:internalName="TaxCatchAll" ma:showField="CatchAllData" ma:web="4aa7f693-b1e1-4382-90e3-78f3c0a28a9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39FB3B4-3988-4E6D-9EEF-41E56E833176}"/>
</file>

<file path=customXml/itemProps2.xml><?xml version="1.0" encoding="utf-8"?>
<ds:datastoreItem xmlns:ds="http://schemas.openxmlformats.org/officeDocument/2006/customXml" ds:itemID="{91B21E52-8CE8-4B22-8FAD-37B17501C070}"/>
</file>

<file path=customXml/itemProps3.xml><?xml version="1.0" encoding="utf-8"?>
<ds:datastoreItem xmlns:ds="http://schemas.openxmlformats.org/officeDocument/2006/customXml" ds:itemID="{778B05F6-5592-4A29-A5D2-E1EC9014E95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Juan Diego Correa Blair</cp:lastModifiedBy>
  <cp:revision/>
  <dcterms:created xsi:type="dcterms:W3CDTF">2026-06-01T13:41:02Z</dcterms:created>
  <dcterms:modified xsi:type="dcterms:W3CDTF">2026-06-02T19:56:26Z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0x01010004099F62560ECB4FBCACDD576F14E869</vt:lpwstr>
  </property>
  <property fmtid="{D5CDD505-2E9C-101B-9397-08002B2CF9AE}" pid="3" name="MediaServiceImageTags">
    <vt:lpwstr/>
  </property>
</Properties>
</file>